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B628F6EC-CC22-448E-A185-D2A5CAFD23A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Hoja1" sheetId="1" r:id="rId1"/>
    <sheet name="ReqFunBackend" sheetId="2" r:id="rId2"/>
    <sheet name="ReqNoFunBackend" sheetId="3" r:id="rId3"/>
    <sheet name="ReqFunFrontend" sheetId="4" r:id="rId4"/>
    <sheet name="ReqNoFunFrontend" sheetId="5" r:id="rId5"/>
    <sheet name="ReqFunBD" sheetId="6" r:id="rId6"/>
    <sheet name="ReqNoFunDB" sheetId="7" r:id="rId7"/>
    <sheet name="GANT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 a="1"/>
  <c r="G9" i="1"/>
  <c r="M13" i="5"/>
  <c r="G8" i="1" a="1"/>
  <c r="G8" i="1"/>
  <c r="G7" i="1" a="1"/>
  <c r="G7" i="1"/>
  <c r="G6" i="1" a="1"/>
  <c r="G6" i="1"/>
  <c r="J13" i="2"/>
  <c r="M13" i="7"/>
  <c r="L13" i="7"/>
  <c r="K13" i="7"/>
  <c r="J13" i="7"/>
  <c r="M13" i="6"/>
  <c r="L13" i="6"/>
  <c r="K13" i="6"/>
  <c r="J13" i="6"/>
  <c r="L13" i="5"/>
  <c r="K13" i="5"/>
  <c r="J13" i="5"/>
  <c r="M13" i="2"/>
  <c r="L13" i="2"/>
  <c r="K13" i="2"/>
  <c r="M13" i="4"/>
  <c r="L13" i="4"/>
  <c r="K13" i="4"/>
  <c r="J13" i="4"/>
  <c r="M13" i="3"/>
  <c r="L13" i="3"/>
  <c r="K13" i="3"/>
  <c r="J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<sst xmlns="http://schemas.openxmlformats.org/spreadsheetml/2006/main" count="622" uniqueCount="335">
  <si>
    <t>Portal de citas de entrega Ferragro</t>
  </si>
  <si>
    <t>Conceptos técnicos y REQ.</t>
  </si>
  <si>
    <t>Fuente: docs/conceptos_tecnicos_y_req.md</t>
  </si>
  <si>
    <t>PALABRA</t>
  </si>
  <si>
    <t>CONCEPTO TÉCNICO</t>
  </si>
  <si>
    <t>Indicador</t>
  </si>
  <si>
    <t>Valor</t>
  </si>
  <si>
    <t>Python</t>
  </si>
  <si>
    <t>Lenguaje principal del backend. Es interpretado, de tipado dinámico (con tipado estático opcional) y ofrece un ecosistema amplio para APIs web, bases de datos, seguridad y automatización. En Ferragro concentra reglas de negocio, autenticación, citas, notificaciones y tareas programadas.</t>
  </si>
  <si>
    <t>Requerimientos</t>
  </si>
  <si>
    <t>FastAPI</t>
  </si>
  <si>
    <t>Framework web de alto rendimiento para exponer la API REST del portal. Usa anotaciones de tipos y modelos Pydantic para validar entradas y salidas, y genera documentación OpenAPI de forma automática.</t>
  </si>
  <si>
    <t>Hechos (SI)</t>
  </si>
  <si>
    <t>Uvicorn</t>
  </si>
  <si>
    <t>Servidor ASGI que ejecuta la aplicación FastAPI. Recibe peticiones HTTP, las entrega a la app y devuelve respuestas; en desarrollo permite recarga rápida al cambiar el código.</t>
  </si>
  <si>
    <t>Parciales</t>
  </si>
  <si>
    <t>SQLAlchemy</t>
  </si>
  <si>
    <t>Capa de acceso a PostgreSQL desde el backend. Gestiona sesiones, modelos ORM y consultas sobre usuarios, proveedores, citas, historial, sesiones y notificaciones.</t>
  </si>
  <si>
    <t>No cumplidos (NO)</t>
  </si>
  <si>
    <t>Pydantic</t>
  </si>
  <si>
    <t>Biblioteca de validación y serialización basada en tipos. Define esquemas de petición y respuesta para auth, citas, CRUD y perfiles, con mensajes de error homogéneos.</t>
  </si>
  <si>
    <t>Porcentaje</t>
  </si>
  <si>
    <t>JWT</t>
  </si>
  <si>
    <t>Mecanismo de autenticación con tokens firmados. El backend emite access_token y refresh_token; el cliente envía el access token en rutas protegidas y el refresh se renueva por cookie HttpOnly.</t>
  </si>
  <si>
    <t>bcrypt</t>
  </si>
  <si>
    <t>Algoritmo de hash para contraseñas. Evita almacenar texto plano y endurece el almacenamiento frente a ataques de fuerza bruta.</t>
  </si>
  <si>
    <t>Variables de entorno</t>
  </si>
  <si>
    <t>Configuración sensible y por ambiente (base de datos, secretos JWT, SMTP, CORS, límites de tasa, anticipación mínima de citas, Cloudinary) cargada desde .env sin modificar el código.</t>
  </si>
  <si>
    <t>SMTP</t>
  </si>
  <si>
    <t>Protocolo usado para correos transaccionales: bienvenida al registro, contraseña temporal, recordatorios de cita y avisos operativos cuando el servidor de correo está configurado.</t>
  </si>
  <si>
    <t>PostgreSQL</t>
  </si>
  <si>
    <t>Base de datos relacional del sistema. Persiste credenciales, usuarios internos, proveedores, citas, historial de cambios, franjas horarias, auditoría de login y notificaciones in-app.</t>
  </si>
  <si>
    <t>psycopg</t>
  </si>
  <si>
    <t>Driver PostgreSQL usado por SQLAlchemy en el backend y por pruebas automatizadas para conectar con la base de datos.</t>
  </si>
  <si>
    <t>React</t>
  </si>
  <si>
    <t>Biblioteca JavaScript para construir la interfaz del portal en una sola página: landing pública, login, registro, tablero por rol y componentes reutilizables.</t>
  </si>
  <si>
    <t>Vite</t>
  </si>
  <si>
    <t>Herramienta de desarrollo y empaquetado del frontend. Acelera el arranque local, el hot reload y la generación del build de producción.</t>
  </si>
  <si>
    <t>Axios</t>
  </si>
  <si>
    <t>Cliente HTTP del frontend. Centraliza llamadas a la API, reintentos de refresh de token, manejo de errores y descarga de archivos como CSV.</t>
  </si>
  <si>
    <t>Tailwind CSS</t>
  </si>
  <si>
    <t>Framework utility-first para estilos responsivos, tipografía corporativa, contraste y componentes visuales coherentes con la marca Ferragro.</t>
  </si>
  <si>
    <t>slowapi</t>
  </si>
  <si>
    <t>Middleware de rate limiting en endpoints sensibles (autenticación y operaciones críticas) para reducir abuso y fuerza bruta.</t>
  </si>
  <si>
    <t>OpenAPI / Swagger</t>
  </si>
  <si>
    <t>Contrato y documentación interactiva de la API (/docs, /openapi.json) para pruebas y alineación entre frontend y backend.</t>
  </si>
  <si>
    <t>Cloudinary</t>
  </si>
  <si>
    <t>Servicio externo para almacenar y servir fotos de perfil de usuario cuando las credenciales están configuradas en el entorno.</t>
  </si>
  <si>
    <t>pytest</t>
  </si>
  <si>
    <t>Marco de pruebas automatizadas del backend y de funciones de base de datos para validar reglas críticas antes de despliegues.</t>
  </si>
  <si>
    <t>ESLint + axe-core</t>
  </si>
  <si>
    <t>Herramientas de calidad y accesibilidad en el frontend; en desarrollo ayudan a detectar problemas de marcado y uso de componentes.</t>
  </si>
  <si>
    <t>Scripts SQL y PowerShell</t>
  </si>
  <si>
    <t>Carpeta db/ con migraciones versionadas (db/init) y orquestación en Windows (run-database-all.ps1) para crear esquema, semillas, auditoría y plantillas de roles.</t>
  </si>
  <si>
    <t>Scheduler</t>
  </si>
  <si>
    <t>Bucle asíncrono en el backend que ejecuta recordatorios de citas y registra el resultado de cada envío para trazabilidad operativa.</t>
  </si>
  <si>
    <t>Código base</t>
  </si>
  <si>
    <t>Significado</t>
  </si>
  <si>
    <t>BE</t>
  </si>
  <si>
    <t>Backend (API FastAPI, servicios y reglas de negocio).</t>
  </si>
  <si>
    <t>P-BE</t>
  </si>
  <si>
    <t>Backend pendiente o con cumplimiento parcial.</t>
  </si>
  <si>
    <t>FR</t>
  </si>
  <si>
    <t>Frontend (React + Vite).</t>
  </si>
  <si>
    <t>P-FR</t>
  </si>
  <si>
    <t>Frontend pendiente o con cumplimiento parcial.</t>
  </si>
  <si>
    <t>UI</t>
  </si>
  <si>
    <t>Interfaz de usuario y experiencia visual del portal.</t>
  </si>
  <si>
    <t>LG</t>
  </si>
  <si>
    <t>Login, registro, recuperación y cambio de contraseña.</t>
  </si>
  <si>
    <t>R</t>
  </si>
  <si>
    <t>Navegación entre vistas públicas y panel autenticado según rol.</t>
  </si>
  <si>
    <t>CSS</t>
  </si>
  <si>
    <t>Estilos globales, tokens de marca y diseño responsivo.</t>
  </si>
  <si>
    <t>ANIM</t>
  </si>
  <si>
    <t>Transiciones y realce visual ligero en componentes y tour guiado.</t>
  </si>
  <si>
    <t>T</t>
  </si>
  <si>
    <t>Mensajes de éxito, error y notificaciones en pantalla.</t>
  </si>
  <si>
    <t>NF</t>
  </si>
  <si>
    <t>Requerimiento no funcional (rendimiento, seguridad, operación, accesibilidad).</t>
  </si>
  <si>
    <t>GU</t>
  </si>
  <si>
    <t>Gestión de usuarios, roles y permisos (Admin, Logística, Proveedor).</t>
  </si>
  <si>
    <t>CI</t>
  </si>
  <si>
    <t>Gestión de citas de entrega de materiales.</t>
  </si>
  <si>
    <t>FRJ</t>
  </si>
  <si>
    <t>Franjas horarias y disponibilidad para agendamiento.</t>
  </si>
  <si>
    <t>AU</t>
  </si>
  <si>
    <t>Auditoría, historial de cambios y trazabilidad.</t>
  </si>
  <si>
    <t>NI</t>
  </si>
  <si>
    <t>Notificaciones in-app y avisos asociados a citas.</t>
  </si>
  <si>
    <t>MR</t>
  </si>
  <si>
    <t>Identidad visual y lineamientos de marca Ferragro.</t>
  </si>
  <si>
    <t>DB</t>
  </si>
  <si>
    <t>Base de datos PostgreSQL, migraciones y persistencia.</t>
  </si>
  <si>
    <t>P-DB</t>
  </si>
  <si>
    <t>Base de datos pendiente o con cumplimiento parcial.</t>
  </si>
  <si>
    <t>P-XX</t>
  </si>
  <si>
    <t>Pendiente en cualquier área del sistema.</t>
  </si>
  <si>
    <t>LISTADO DE REQUERIMIENTOS DEL SISTEMA IMPLEMENTACION DEL SOFTWARE DE GESTION DE CITAS DE ENTREGA DE MATERIALES EN UNA EMPRESA</t>
  </si>
  <si>
    <t>SI</t>
  </si>
  <si>
    <t>Marque con una equis (X) si el sistema cumple con la función descrita</t>
  </si>
  <si>
    <t>NO</t>
  </si>
  <si>
    <t>Marque con una equis (X) si el sistema no cumple con la función descrita</t>
  </si>
  <si>
    <t>ADI</t>
  </si>
  <si>
    <t>Marque con una equis (X) si el sistema debe adicionar la función descrita</t>
  </si>
  <si>
    <t>Observaciones:Espacio para complementar respuestas</t>
  </si>
  <si>
    <t>Nivel de cumplimiento</t>
  </si>
  <si>
    <t>OBSERVACIONES</t>
  </si>
  <si>
    <t xml:space="preserve">REQUISITOS FUNCIONALES BACKEND </t>
  </si>
  <si>
    <t>Parcial</t>
  </si>
  <si>
    <t>Registro e inicio de sesión de usuarios (proveedor, gerente, administrador).</t>
  </si>
  <si>
    <t>x</t>
  </si>
  <si>
    <t xml:space="preserve">total de requerimintos </t>
  </si>
  <si>
    <t xml:space="preserve">Requeriminetos cumplidos </t>
  </si>
  <si>
    <t>Requeriminetos parcial</t>
  </si>
  <si>
    <t>Requeriminetos no</t>
  </si>
  <si>
    <t>Autenticación mediante JWT.</t>
  </si>
  <si>
    <t>Gestión de roles y permisos.</t>
  </si>
  <si>
    <t>CRUD de citas (crear, consultar, actualizar, eliminar).</t>
  </si>
  <si>
    <t>Validación de citas con mínimo 2 días de anticipación.</t>
  </si>
  <si>
    <t>Validación de conflictos de horario (no permitir solapamientos).</t>
  </si>
  <si>
    <t>Permitir al gerente:Consultar citas por día, mes o lista.</t>
  </si>
  <si>
    <t>Permitir al gerente:Cambiar estado de citas (“sin revisión” → “revisado”).</t>
  </si>
  <si>
    <t>Permitir al gerente:Extender duración de citas (si no hay conflicto posterior).</t>
  </si>
  <si>
    <t>Permitir al administrador:Acceso total a funciones del gerente.</t>
  </si>
  <si>
    <t>Permitir al administrador:Visualización de historial de cambios.</t>
  </si>
  <si>
    <t>Registro (log) de acciones realizadas por el gerente.</t>
  </si>
  <si>
    <t>Manejo de errores y respuestas HTTP adecuadas.</t>
  </si>
  <si>
    <t>Exposición de API REST para comunicación con frontend.</t>
  </si>
  <si>
    <t>Invalidar refresh tokens al cerrar sesion en todos los dispositivos del usuario.  </t>
  </si>
  <si>
    <t>Bloquear temporalmente el acceso despues de multiples intentos fallidos de autenticacion.  </t>
  </si>
  <si>
    <t>Registrar en auditoria los eventos de login exitoso y login fallido.  </t>
  </si>
  <si>
    <t>Permitir filtrado de citas por estado y por proveedor en endpoints de consulta.  </t>
  </si>
  <si>
    <t>Permitir exportar listado de citas en formato CSV para roles internos autorizados.  </t>
  </si>
  <si>
    <t xml:space="preserve"> Incluir paginacion y ordenamiento en consultas de citas y logs.  </t>
  </si>
  <si>
    <t>Enviar recordatorios de cita programada mediante tarea automatizada (scheduler).  </t>
  </si>
  <si>
    <t>Implementar endpoint de salud (`/health`) para monitoreo del servicio.  </t>
  </si>
  <si>
    <t>Versionar API (`/api/v1/...`) para compatibilidad futura.  </t>
  </si>
  <si>
    <t>Agregar trazabilidad de cambios de campos criticos (estado, fecha, hora, duracion) con valor anterior y nuevo valor.</t>
  </si>
  <si>
    <t xml:space="preserve">Permitir solicitud de restablecimiento de contraseña con emisión de contraseña temporal por correo. </t>
  </si>
  <si>
    <t xml:space="preserve"> Permitir cambio de contraseña autenticado validando la contraseña actual. </t>
  </si>
  <si>
    <t xml:space="preserve">Exponer consulta y administración de franjas horarias operativas por día para el agendamiento. </t>
  </si>
  <si>
    <t>Permitir al proveedor reprogramar o cancelar citas propias respetando reglas de negocio.</t>
  </si>
  <si>
    <t>Gestionar notificaciones in-app filtradas por rol y proveedor, con marcado de lectura individual o masivo.</t>
  </si>
  <si>
    <t>Enviar correo de bienvenida al completar el registro de proveedor.</t>
  </si>
  <si>
    <t>Incluir endpoint de verificación de disponibilidad horaria (`available-slots`) para agendamiento guiado.</t>
  </si>
  <si>
    <t>Validar formato de NIT de proveedor (10 dígitos) en registro y persistencia.</t>
  </si>
  <si>
    <t xml:space="preserve">REQUISITOS NO FUNCIONALES BACKEND </t>
  </si>
  <si>
    <t>Alto rendimiento en consultas y procesamiento.</t>
  </si>
  <si>
    <t>Seguridad en autenticación y manejo de datos sensibles.</t>
  </si>
  <si>
    <t>Escalabilidad (capacidad de soportar más usuarios).</t>
  </si>
  <si>
    <t>Código modular y mantenible.</t>
  </si>
  <si>
    <t>Documentación automática de API (Swagger/OpenAPI).</t>
  </si>
  <si>
    <t>Tiempo de respuesta óptimo (&lt;500 ms en operaciones comunes).</t>
  </si>
  <si>
    <t>Manejo de concurrencia (evitar conflictos en citas simultáneas).</t>
  </si>
  <si>
    <t>Uso de buenas prácticas (clean architecture).</t>
  </si>
  <si>
    <t>Logs estructurados para auditoría.</t>
  </si>
  <si>
    <t xml:space="preserve"> Cobertura minima de pruebas automatizadas para modulos criticos de negocio.  </t>
  </si>
  <si>
    <t>Tolerancia a fallos con respuestas controladas ante caida de servicios dependientes.  </t>
  </si>
  <si>
    <t>Configuracion centralizada por ambiente (dev, test, prod) sin cambios de codigo.  </t>
  </si>
  <si>
    <t>Estandar de logs con identificador de correlacion por request.  </t>
  </si>
  <si>
    <t>Limite de tasa (rate limiting) en endpoints de autenticacion y operaciones sensibles.  </t>
  </si>
  <si>
    <t>Tiempo maximo de recuperacion del servicio definido para incidentes criticos.  </t>
  </si>
  <si>
    <t xml:space="preserve"> Validacion estricta de payloads con esquemas y mensajes de error consistentes.  </t>
  </si>
  <si>
    <t>Compatibilidad con despliegue en contenedores para portabilidad operacional.</t>
  </si>
  <si>
    <t xml:space="preserve">Homogeneizar respuestas API con contrato JSON (`success`, `data`, `message`). </t>
  </si>
  <si>
    <t xml:space="preserve">Rechazar parámetros de consulta con patrones sospechosos de inyección SQL. </t>
  </si>
  <si>
    <t>Configurar CORS por ambiente soportando credenciales en autenticación.</t>
  </si>
  <si>
    <t xml:space="preserve">Aplicar cabeceras de seguridad HTTP (X-Frame-Options, CSP, etc.) en respuestas. </t>
  </si>
  <si>
    <t>Permitir ajustar la anticipación mínima de citas mediante configuración sin cambiar código.</t>
  </si>
  <si>
    <t xml:space="preserve">REQUISITOS FUNCIONALES FRONTEND </t>
  </si>
  <si>
    <t>Interfaz de registro e inicio de sesión.</t>
  </si>
  <si>
    <t>Visualización de calendario interactivo para agendar citas.</t>
  </si>
  <si>
    <t>Formulario para creación de citas con: Descripción detallada del material</t>
  </si>
  <si>
    <t>Formulario para creación de citas con: Fecha y hora</t>
  </si>
  <si>
    <t>Visualización de citas propias (proveedor).</t>
  </si>
  <si>
    <t>Panel para gerente:Cambiar estado de citas.</t>
  </si>
  <si>
    <t>Panel para gerente:Extender duración de citas.</t>
  </si>
  <si>
    <t>Panel para gerente:Ver citas por día, mes y lista.</t>
  </si>
  <si>
    <t>Panel para administrador:Ver historial de cambios.</t>
  </si>
  <si>
    <t>Panel para administrador:Extender duración de citas.</t>
  </si>
  <si>
    <t>Panel para administrador:Ver citas por día, mes y lista.</t>
  </si>
  <si>
    <t>Panel para administrador:Cambiar estado de citas.</t>
  </si>
  <si>
    <t>Notificaciones visuales (éxito/error).</t>
  </si>
  <si>
    <t>Consumo de API del backend.</t>
  </si>
  <si>
    <t>Manejo de estados (loading, error, success).</t>
  </si>
  <si>
    <t xml:space="preserve"> Cerrar sesion automaticamente cuando el refresh token expire y redirigir a login.  </t>
  </si>
  <si>
    <t>Mostrar historial de cambios de una cita desde el detalle de la misma (segun rol).  </t>
  </si>
  <si>
    <t>Permitir filtros combinados en el tablero (rango de fechas, estado, proveedor).  </t>
  </si>
  <si>
    <t>Incluir busqueda rapida de citas por texto (material o identificador).  </t>
  </si>
  <si>
    <t>Confirmar acciones criticas (cambio de estado, extension, eliminacion) con dialogo modal.  </t>
  </si>
  <si>
    <t>Permitir duplicar una cita existente para acelerar nuevos registros similares.  </t>
  </si>
  <si>
    <t>Mostrar indicador visual de conflicto potencial al editar fecha/hora antes de guardar.  </t>
  </si>
  <si>
    <t>Incorporar vista de resumen con metricas basicas (citas por estado y por periodo).  </t>
  </si>
  <si>
    <t>Permitir descarga local de resultados filtrados en CSV desde la interfaz.  </t>
  </si>
  <si>
    <t>Soportar cambio de contrasena desde perfil de usuario autenticado.</t>
  </si>
  <si>
    <t>Mostrar el logotipo corporativo oficial de FERRAGRO en encabezados principales del portal.</t>
  </si>
  <si>
    <t>Cumplido: logo oficial implementado en landing, login y dashboard.</t>
  </si>
  <si>
    <t>Incluir bloque institucional visible de mision y vision corporativa en la pagina de acceso.</t>
  </si>
  <si>
    <t>Cumplido: bloque institucional de mision/vision agregado en landing.</t>
  </si>
  <si>
    <t>Implementar componente reutilizable de marca (BrandLogo) para encabezados y paneles, evitando inconsistencias visuales.</t>
  </si>
  <si>
    <t>Cumplido: BrandLogo aplicado en landing, login y dashboard.</t>
  </si>
  <si>
    <t>Mostrar página landing pública con acceso a login, registro y contacto institucional.</t>
  </si>
  <si>
    <t>Permitir recuperación de contraseña desde la pantalla de inicio de sesión.</t>
  </si>
  <si>
    <t>Presentar centro de notificaciones con contador de no leídas en el panel.</t>
  </si>
  <si>
    <t xml:space="preserve"> Permitir al proveedor reprogramar o cancelar citas propias desde el tablero.</t>
  </si>
  <si>
    <t xml:space="preserve">Restringir selección de horarios a franjas habilitadas y a la anticipación mínima vigente. </t>
  </si>
  <si>
    <t>Ofrecer recorrido guiado de uso en vistas públicas y en el panel por rol.</t>
  </si>
  <si>
    <t>Alternar tema claro/oscuro conservando la preferencia del usuario.</t>
  </si>
  <si>
    <t xml:space="preserve">REQUISITOS NO FUNCIONALES FRONTEND </t>
  </si>
  <si>
    <t>Diseño responsivo (adaptable a móvil, tablet y escritorio).</t>
  </si>
  <si>
    <t>Interfaz intuitiva y fácil de usar (UX/UI).</t>
  </si>
  <si>
    <t>Tiempo de carga rápido (&lt;2 segundos).</t>
  </si>
  <si>
    <t>Código reutilizable y organizado (componentes).</t>
  </si>
  <si>
    <t>Accesibilidad básica (contraste, navegación clara).</t>
  </si>
  <si>
    <t>Compatibilidad con navegadores modernos.</t>
  </si>
  <si>
    <t>Manejo eficiente del estado (ej: React hooks o librerías).</t>
  </si>
  <si>
    <t>Seguridad básica (protección de rutas, manejo de tokens).</t>
  </si>
  <si>
    <t>Mantener consistencia visual con un sistema de diseno (colores, tipografias y componentes).  </t>
  </si>
  <si>
    <t>Cumplir criterios basicos de accesibilidad WCAG (etiquetas, foco visible y navegacion teclado).  </t>
  </si>
  <si>
    <t>Reducir peso inicial del bundle mediante carga diferida de modulos no criticos.  </t>
  </si>
  <si>
    <t>Soportar modo de red lenta con mensajes de estado claros y reintento de peticiones.  </t>
  </si>
  <si>
    <t>Evitar perdida de datos en formularios con guardado temporal local.  </t>
  </si>
  <si>
    <t>Garantizar compatibilidad responsive en resoluciones comunes del entorno operativo.  </t>
  </si>
  <si>
    <t>Manejar errores globales de red con una capa unificada de notificaciones.  </t>
  </si>
  <si>
    <t>Internacionalizacion preparada para textos de interfaz (estructura i18n).</t>
  </si>
  <si>
    <t>Aplicar color corporativo oficial Pantone 356 C (#35783C) y gris corporativo (#D7D8D8) en interfaz.</t>
  </si>
  <si>
    <t>Cumplido: color corporativo homologado en componentes frontend y lineamientos base.</t>
  </si>
  <si>
    <t>Respetar area de proteccion del logotipo evitando elementos que interfieran su lectura.</t>
  </si>
  <si>
    <t>Cumplido: area de proteccion aplicada mediante contenedor de marca reutilizable.</t>
  </si>
  <si>
    <t>Mantener la proporcion original del logotipo (sin estiramiento, compresion o distorsion).</t>
  </si>
  <si>
    <t>Cumplido: logo renderizado con object-contain, sin distorsion en componentes principales.</t>
  </si>
  <si>
    <t>Utilizar tipografia corporativa recomendada (Century Gothic) con fallback legible.</t>
  </si>
  <si>
    <t>Cumplido: Century Gothic definida globalmente con fallback legible.</t>
  </si>
  <si>
    <t>Evitar usos incorrectos de marca: recoloreo arbitrario, baja resolucion o efectos excesivos.</t>
  </si>
  <si>
    <t>Cumplido: se estandarizaron usos de marca y controles visuales en componentes auditados.</t>
  </si>
  <si>
    <t>Centralizar lineamientos de marca en configuracion global (tokens de color y fuente base).</t>
  </si>
  <si>
    <t>Cumplido: colores corporativos y tipografia base definidos globalmente.</t>
  </si>
  <si>
    <t>Garantizar cache-busting de activos de marca para despliegues y pruebas visuales.</t>
  </si>
  <si>
    <t>Cumplido: activo de logo versionado y referenciado en frontend.</t>
  </si>
  <si>
    <t>Mostrar aviso de consentimiento de cookies en vistas públicas.</t>
  </si>
  <si>
    <t>Capturar fallos de renderizado con pantalla de recuperación sin bloquear toda la aplicación.</t>
  </si>
  <si>
    <t xml:space="preserve">REQUISITOS FUNCIONALES BASE DE DATOS </t>
  </si>
  <si>
    <t>Almacenamiento de usuarios con roles.</t>
  </si>
  <si>
    <t>Almacenamiento de citas con: Fecha</t>
  </si>
  <si>
    <t>Almacenamiento de citas con: Hora</t>
  </si>
  <si>
    <t>Almacenamiento de citas con: Duración</t>
  </si>
  <si>
    <t>Almacenamiento de citas con: Estado</t>
  </si>
  <si>
    <t>Almacenamiento de citas con: Descripción</t>
  </si>
  <si>
    <t>Almacenamiento de citas con: Relación con proveedor</t>
  </si>
  <si>
    <t>Almacenamiento de estados de citas.</t>
  </si>
  <si>
    <t>Registro de historial de cambios (logs).</t>
  </si>
  <si>
    <t>Relación entre tablas (llaves foráneas).</t>
  </si>
  <si>
    <t>Consultas eficientes para: Filtrar citas por fecha (día/mes)</t>
  </si>
  <si>
    <t>Consultas eficientes para: Validar conflictos de horario</t>
  </si>
  <si>
    <t>Soporte para actualización de estados de citas</t>
  </si>
  <si>
    <t>Almacenar refresh tokens y sesiones activas por usuario para permitir invalidacion selectiva o global.  </t>
  </si>
  <si>
    <t>Registrar en tabla de auditoria los cambios de estado de citas con usuario, fecha/hora y valores anterior/nuevo.  </t>
  </si>
  <si>
    <t>Soportar consulta eficiente de citas por estado, proveedor y rango de fechas mediante estructuras de datos adecuadas.  </t>
  </si>
  <si>
    <t>Mantener historial de reprogramaciones de citas (fecha/hora previa y nueva) con motivo del cambio.  </t>
  </si>
  <si>
    <t>Almacenar eventos de autenticacion (exitoso/fallido) con metadatos basicos para analisis posterior.  </t>
  </si>
  <si>
    <t>Persistir configuraciones operativas del sistema (parametros de negocio) en tablas administrables.  </t>
  </si>
  <si>
    <t>Registrar ejecuciones de tareas programadas (recordatorios) con estado, fecha de envio y resultado.  </t>
  </si>
  <si>
    <t>Versionar cambios de esquema y datos maestros mediante migraciones trazables en base de datos.</t>
  </si>
  <si>
    <t>Almacenar franjas horarias base y excepciones por fecha para disponibilidad operativa.</t>
  </si>
  <si>
    <t>Persistir notificaciones in-app asociadas a citas, rol y proveedor cuando aplique.</t>
  </si>
  <si>
    <t xml:space="preserve">Registrar estado de restablecimiento de contraseña y bandera de cambio obligatorio. </t>
  </si>
  <si>
    <t>Almacenar NIT de proveedor en formato numérico de 10 dígitos con restricción de integridad.</t>
  </si>
  <si>
    <t xml:space="preserve">REQUISITOS NO FUNCIONALES BASE DE DATOS </t>
  </si>
  <si>
    <t>Integridad de datos (constraints, claves primarias/foráneas).</t>
  </si>
  <si>
    <t>Alto rendimiento en consultas (uso de índices).</t>
  </si>
  <si>
    <t>Escalabilidad (crecimiento de datos).</t>
  </si>
  <si>
    <t>Seguridad (control de accesos).</t>
  </si>
  <si>
    <t>Respaldo y recuperación de datos (backups).</t>
  </si>
  <si>
    <t>Disponibilidad (mínimo tiempo de caída).</t>
  </si>
  <si>
    <t>Consistencia de datos (ACID).</t>
  </si>
  <si>
    <t>Optimización de consultas complejas.</t>
  </si>
  <si>
    <t>Manejo de concurrencia (transacciones).</t>
  </si>
  <si>
    <t>Politica de retencion de auditoria con archivado historico por periodos.  </t>
  </si>
  <si>
    <t>Estrategia de particionamiento para tablas de alto crecimiento (citas y logs).  </t>
  </si>
  <si>
    <t>Cifrado de respaldos y control de acceso al almacenamiento de copias.  </t>
  </si>
  <si>
    <t>Monitoreo de rendimiento con metricas de consultas lentas y uso de indices.  </t>
  </si>
  <si>
    <t>Definicion de objetivos RPO/RTO para continuidad del servicio.  </t>
  </si>
  <si>
    <t>Ejecucion periodica de mantenimiento (vacuum/analyze o equivalente).  </t>
  </si>
  <si>
    <t>Versionado de scripts SQL y trazabilidad de migraciones aplicadas.  </t>
  </si>
  <si>
    <t>Politica de minimo privilegio para usuarios tecnicos y de aplicacion.</t>
  </si>
  <si>
    <t xml:space="preserve">Mantener disparadores de auditoría en cambios críticos de datos maestros y citas. </t>
  </si>
  <si>
    <t>Disponer plantilla documentada de roles y privilegios de base de datos para despliegue seguro.</t>
  </si>
  <si>
    <t>DIAGRAMA DE GANTT - PROYECTO FERRAGRO</t>
  </si>
  <si>
    <t>Inicio del proyecto</t>
  </si>
  <si>
    <t>S4 de abril</t>
  </si>
  <si>
    <t>Escala</t>
  </si>
  <si>
    <t>Mes (arriba) / Semana (abajo)</t>
  </si>
  <si>
    <t>Abril</t>
  </si>
  <si>
    <t>Mayo</t>
  </si>
  <si>
    <t>Junio</t>
  </si>
  <si>
    <t>Fase</t>
  </si>
  <si>
    <t>Actividad</t>
  </si>
  <si>
    <t>Inicio</t>
  </si>
  <si>
    <t>Fin</t>
  </si>
  <si>
    <t>Duración (semanas)</t>
  </si>
  <si>
    <t>Estado</t>
  </si>
  <si>
    <t>S1</t>
  </si>
  <si>
    <t>S2</t>
  </si>
  <si>
    <t>S3</t>
  </si>
  <si>
    <t>S4</t>
  </si>
  <si>
    <t>Fase 1: análisis</t>
  </si>
  <si>
    <t>Estudio de viabilidad</t>
  </si>
  <si>
    <t>Completado</t>
  </si>
  <si>
    <t>Levantamiento de requerimientos</t>
  </si>
  <si>
    <t>Documentación de requerimientos</t>
  </si>
  <si>
    <t>Fase 2: diseño</t>
  </si>
  <si>
    <t>Diseño de interfaz de usuario</t>
  </si>
  <si>
    <t>Prototipos</t>
  </si>
  <si>
    <t>Establecer lenguaje/programación</t>
  </si>
  <si>
    <t>Documentación del diseño</t>
  </si>
  <si>
    <t>Fase 3: desarrollo</t>
  </si>
  <si>
    <t>Crear código fuente</t>
  </si>
  <si>
    <t>Ejecución e integración del código</t>
  </si>
  <si>
    <t>Fase 4: pruebas</t>
  </si>
  <si>
    <t>Pruebas unitarias</t>
  </si>
  <si>
    <t>Pruebas de integración</t>
  </si>
  <si>
    <t>Pruebas de seguridad</t>
  </si>
  <si>
    <t>Pruebas de rendimiento</t>
  </si>
  <si>
    <t>En curso</t>
  </si>
  <si>
    <t>Pruebas de compatibilidad</t>
  </si>
  <si>
    <t>Pruebas de almacenamiento</t>
  </si>
  <si>
    <t>Planeado</t>
  </si>
  <si>
    <t>Documentación de pruebas</t>
  </si>
  <si>
    <t>Fase 5: entrega</t>
  </si>
  <si>
    <t>Copias de seguridad</t>
  </si>
  <si>
    <t>Prueba de validación</t>
  </si>
  <si>
    <t>Capacitación del personal</t>
  </si>
  <si>
    <t>Entrega del software y documentación</t>
  </si>
  <si>
    <t>Leyenda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</si>
</sst>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b/>
      <sz val="12"/>
      <color theme="1"/>
      <name val="Arial"/>
    </font>
    <font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1"/>
      <color theme="1"/>
      <name val="Calibri"/>
    </font>
    <font>
      <b/>
      <sz val="14"/>
      <color theme="0"/>
      <name val="Calibri"/>
    </font>
    <font>
      <sz val="11"/>
      <color theme="0"/>
      <name val="Arial"/>
    </font>
    <font>
      <sz val="11"/>
      <color theme="1"/>
      <name val="Arial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sz val="11"/>
      <color theme="0"/>
      <name val="Arial"/>
      <family val="2"/>
    </font>
    <font>
      <sz val="11"/>
      <color rgb="FFD6D6DD"/>
      <name val="Consolas"/>
      <charset val="1"/>
    </font>
    <font>
      <sz val="11"/>
      <color rgb="FF000000"/>
      <name val="Arial"/>
    </font>
    <font>
      <b/>
      <sz val="13"/>
      <color rgb="FFFFFFFF"/>
      <name val="Aptos Narrow"/>
    </font>
    <font>
      <b/>
      <sz val="11"/>
      <name val="Aptos Narrow"/>
    </font>
    <font>
      <b/>
      <sz val="11"/>
      <color rgb="FFFFFFFF"/>
      <name val="Aptos Narrow"/>
    </font>
    <font>
      <b/>
      <sz val="9"/>
      <color rgb="FFFFFFFF"/>
      <name val="Aptos Narrow"/>
    </font>
    <font>
      <b/>
      <sz val="11"/>
      <color rgb="FF0B5E12"/>
      <name val="Aptos Narrow"/>
    </font>
    <font>
      <b/>
      <sz val="11"/>
      <color rgb="FF7A5A00"/>
      <name val="Aptos Narrow"/>
    </font>
    <font>
      <b/>
      <sz val="11"/>
      <color rgb="FF4A4A4A"/>
      <name val="Aptos Narrow"/>
    </font>
    <font>
      <sz val="11"/>
      <color rgb="FF000000"/>
      <name val="Arial"/>
      <family val="2"/>
    </font>
    <font>
      <b/>
      <sz val="14"/>
      <name val="Calibri"/>
    </font>
    <font>
      <b/>
      <sz val="12"/>
      <name val="Calibri"/>
    </font>
    <font>
      <i/>
      <sz val="10"/>
      <name val="Calibri"/>
    </font>
    <font>
      <b/>
      <sz val="11"/>
      <name val="Calibri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385623"/>
        <bgColor rgb="FF385623"/>
      </patternFill>
    </fill>
    <fill>
      <patternFill patternType="solid">
        <fgColor rgb="FF1A5429"/>
        <bgColor rgb="FF1A5429"/>
      </patternFill>
    </fill>
    <fill>
      <patternFill patternType="solid">
        <fgColor rgb="FF35783C"/>
      </patternFill>
    </fill>
    <fill>
      <patternFill patternType="solid">
        <fgColor rgb="FF7FAE84"/>
      </patternFill>
    </fill>
    <fill>
      <patternFill patternType="solid">
        <fgColor rgb="FFD7D8D8"/>
      </patternFill>
    </fill>
    <fill>
      <patternFill patternType="solid">
        <fgColor rgb="FFD9E1F2"/>
      </patternFill>
    </fill>
  </fills>
  <borders count="31">
    <border>
      <left/>
      <right/>
      <top/>
      <bottom/>
      <diagonal/>
    </border>
    <border>
      <left style="thin">
        <color rgb="FFFFC000"/>
      </left>
      <right/>
      <top/>
      <bottom/>
      <diagonal/>
    </border>
    <border>
      <left/>
      <right/>
      <top style="thin">
        <color rgb="FFFFC000"/>
      </top>
      <bottom/>
      <diagonal/>
    </border>
    <border>
      <left/>
      <right/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A8D08D"/>
      </left>
      <right/>
      <top style="thin">
        <color rgb="FFA8D08D"/>
      </top>
      <bottom style="thin">
        <color rgb="FFA8D08D"/>
      </bottom>
      <diagonal/>
    </border>
    <border>
      <left/>
      <right/>
      <top style="thin">
        <color rgb="FFA8D08D"/>
      </top>
      <bottom style="thin">
        <color rgb="FFA8D08D"/>
      </bottom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A8D08D"/>
      </left>
      <right style="thin">
        <color rgb="FFA8D08D"/>
      </right>
      <top style="thin">
        <color rgb="FFA8D08D"/>
      </top>
      <bottom/>
      <diagonal/>
    </border>
    <border>
      <left style="thin">
        <color rgb="FFA8D08D"/>
      </left>
      <right/>
      <top style="thin">
        <color rgb="FFA8D08D"/>
      </top>
      <bottom/>
      <diagonal/>
    </border>
    <border>
      <left/>
      <right/>
      <top style="thin">
        <color rgb="FF75707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rgb="FFB7B7B7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rgb="FFB7B7B7"/>
      </top>
      <bottom style="thin">
        <color theme="2" tint="-9.9978637043366805E-2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2" xfId="0" applyFont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8" fillId="0" borderId="12" xfId="0" applyFont="1" applyBorder="1"/>
    <xf numFmtId="0" fontId="7" fillId="5" borderId="14" xfId="0" applyFont="1" applyFill="1" applyBorder="1" applyAlignment="1">
      <alignment horizontal="center" vertical="center"/>
    </xf>
    <xf numFmtId="0" fontId="0" fillId="0" borderId="13" xfId="0" applyBorder="1"/>
    <xf numFmtId="0" fontId="8" fillId="0" borderId="0" xfId="0" applyFont="1"/>
    <xf numFmtId="0" fontId="7" fillId="5" borderId="17" xfId="0" applyFont="1" applyFill="1" applyBorder="1" applyAlignment="1">
      <alignment horizontal="center" vertical="center"/>
    </xf>
    <xf numFmtId="0" fontId="8" fillId="0" borderId="13" xfId="0" applyFont="1" applyBorder="1"/>
    <xf numFmtId="0" fontId="9" fillId="0" borderId="0" xfId="0" applyFont="1"/>
    <xf numFmtId="0" fontId="9" fillId="0" borderId="2" xfId="0" applyFont="1" applyBorder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0" fontId="12" fillId="0" borderId="0" xfId="0" applyFont="1"/>
    <xf numFmtId="0" fontId="12" fillId="3" borderId="7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14" fillId="5" borderId="14" xfId="0" applyFont="1" applyFill="1" applyBorder="1" applyAlignment="1">
      <alignment horizontal="center" vertical="center"/>
    </xf>
    <xf numFmtId="0" fontId="9" fillId="0" borderId="13" xfId="0" applyFont="1" applyBorder="1"/>
    <xf numFmtId="0" fontId="9" fillId="0" borderId="12" xfId="0" applyFont="1" applyBorder="1"/>
    <xf numFmtId="0" fontId="9" fillId="0" borderId="15" xfId="0" applyFont="1" applyBorder="1"/>
    <xf numFmtId="0" fontId="14" fillId="5" borderId="17" xfId="0" applyFont="1" applyFill="1" applyBorder="1" applyAlignment="1">
      <alignment horizontal="center" vertical="center"/>
    </xf>
    <xf numFmtId="0" fontId="9" fillId="0" borderId="16" xfId="0" applyFont="1" applyBorder="1"/>
    <xf numFmtId="0" fontId="14" fillId="5" borderId="13" xfId="0" applyFont="1" applyFill="1" applyBorder="1" applyAlignment="1">
      <alignment horizontal="center" vertical="center"/>
    </xf>
    <xf numFmtId="0" fontId="15" fillId="0" borderId="0" xfId="0" applyFont="1" applyAlignment="1">
      <alignment wrapText="1"/>
    </xf>
    <xf numFmtId="0" fontId="16" fillId="0" borderId="12" xfId="0" applyFont="1" applyBorder="1" applyAlignment="1">
      <alignment wrapText="1"/>
    </xf>
    <xf numFmtId="0" fontId="0" fillId="0" borderId="16" xfId="0" applyBorder="1"/>
    <xf numFmtId="0" fontId="16" fillId="0" borderId="18" xfId="0" applyFont="1" applyBorder="1" applyAlignment="1">
      <alignment wrapText="1"/>
    </xf>
    <xf numFmtId="0" fontId="0" fillId="0" borderId="12" xfId="0" applyBorder="1"/>
    <xf numFmtId="0" fontId="0" fillId="0" borderId="0" xfId="0" applyAlignment="1">
      <alignment wrapText="1"/>
    </xf>
    <xf numFmtId="0" fontId="14" fillId="5" borderId="19" xfId="0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7" xfId="0" applyFont="1" applyBorder="1"/>
    <xf numFmtId="0" fontId="8" fillId="0" borderId="20" xfId="0" applyFont="1" applyBorder="1"/>
    <xf numFmtId="0" fontId="0" fillId="0" borderId="14" xfId="0" applyBorder="1"/>
    <xf numFmtId="0" fontId="18" fillId="0" borderId="0" xfId="0" applyFont="1"/>
    <xf numFmtId="0" fontId="0" fillId="0" borderId="21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0" fillId="6" borderId="21" xfId="0" applyFill="1" applyBorder="1"/>
    <xf numFmtId="0" fontId="0" fillId="7" borderId="21" xfId="0" applyFill="1" applyBorder="1"/>
    <xf numFmtId="0" fontId="0" fillId="8" borderId="21" xfId="0" applyFill="1" applyBorder="1"/>
    <xf numFmtId="0" fontId="19" fillId="6" borderId="21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wrapText="1"/>
    </xf>
    <xf numFmtId="0" fontId="24" fillId="0" borderId="0" xfId="0" applyFont="1"/>
    <xf numFmtId="0" fontId="24" fillId="0" borderId="12" xfId="0" applyFont="1" applyBorder="1"/>
    <xf numFmtId="0" fontId="0" fillId="0" borderId="15" xfId="0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9" borderId="22" xfId="0" applyFont="1" applyFill="1" applyBorder="1" applyAlignment="1">
      <alignment vertical="top" wrapText="1"/>
    </xf>
    <xf numFmtId="0" fontId="0" fillId="0" borderId="22" xfId="0" applyBorder="1" applyAlignment="1">
      <alignment vertical="top" wrapText="1"/>
    </xf>
    <xf numFmtId="10" fontId="0" fillId="0" borderId="22" xfId="0" applyNumberFormat="1" applyBorder="1" applyAlignment="1">
      <alignment vertical="top" wrapText="1"/>
    </xf>
    <xf numFmtId="0" fontId="29" fillId="0" borderId="0" xfId="0" applyFont="1"/>
    <xf numFmtId="0" fontId="21" fillId="6" borderId="23" xfId="0" applyFont="1" applyFill="1" applyBorder="1" applyAlignment="1">
      <alignment horizontal="center" vertical="center" wrapText="1"/>
    </xf>
    <xf numFmtId="0" fontId="22" fillId="7" borderId="23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0" fillId="6" borderId="24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21" fillId="6" borderId="29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0" xfId="0" applyBorder="1"/>
    <xf numFmtId="0" fontId="0" fillId="6" borderId="30" xfId="0" applyFill="1" applyBorder="1"/>
    <xf numFmtId="0" fontId="0" fillId="7" borderId="30" xfId="0" applyFill="1" applyBorder="1"/>
    <xf numFmtId="0" fontId="0" fillId="8" borderId="30" xfId="0" applyFill="1" applyBorder="1"/>
    <xf numFmtId="0" fontId="0" fillId="8" borderId="26" xfId="0" applyFill="1" applyBorder="1"/>
    <xf numFmtId="14" fontId="0" fillId="0" borderId="21" xfId="0" applyNumberFormat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4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3" fillId="4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/>
    </xf>
    <xf numFmtId="0" fontId="19" fillId="6" borderId="2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8" xfId="0" applyBorder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Requerimientos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Hoja1!$F$7</c:f>
              <c:strCache>
                <c:ptCount val="1"/>
                <c:pt idx="0">
                  <c:v>Hechos (SI)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Hoja1!$G$7</c:f>
              <c:numCache>
                <c:formatCode>General</c:formatCode>
                <c:ptCount val="1"/>
                <c:pt idx="0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E7-4755-92E4-0004279CC6B7}"/>
            </c:ext>
          </c:extLst>
        </c:ser>
        <c:ser>
          <c:idx val="1"/>
          <c:order val="1"/>
          <c:tx>
            <c:strRef>
              <c:f>Hoja1!$F$8</c:f>
              <c:strCache>
                <c:ptCount val="1"/>
                <c:pt idx="0">
                  <c:v>Parciales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Hoja1!$G$8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E7-4755-92E4-0004279CC6B7}"/>
            </c:ext>
          </c:extLst>
        </c:ser>
        <c:ser>
          <c:idx val="2"/>
          <c:order val="2"/>
          <c:tx>
            <c:strRef>
              <c:f>Hoja1!$F$9</c:f>
              <c:strCache>
                <c:ptCount val="1"/>
                <c:pt idx="0">
                  <c:v>No cumplidos (NO)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Hoja1!$G$9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E7-4755-92E4-0004279CC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607944"/>
        <c:axId val="2125609992"/>
      </c:barChart>
      <c:catAx>
        <c:axId val="212560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09992"/>
        <c:crosses val="autoZero"/>
        <c:auto val="1"/>
        <c:lblAlgn val="ctr"/>
        <c:lblOffset val="100"/>
        <c:noMultiLvlLbl val="0"/>
      </c:catAx>
      <c:valAx>
        <c:axId val="2125609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07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grafico ReqFunBackend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ReqFunBackend!$K$12</c:f>
              <c:strCache>
                <c:ptCount val="1"/>
                <c:pt idx="0">
                  <c:v>Requeriminetos cumplidos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ReqFunBackend!$K$13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3C-4DC7-A24A-96DDD95B161F}"/>
            </c:ext>
          </c:extLst>
        </c:ser>
        <c:ser>
          <c:idx val="1"/>
          <c:order val="1"/>
          <c:tx>
            <c:strRef>
              <c:f>ReqFunBackend!$L$12</c:f>
              <c:strCache>
                <c:ptCount val="1"/>
                <c:pt idx="0">
                  <c:v>Requeriminetos parcial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ReqFunBackend!$L$13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3C-4DC7-A24A-96DDD95B161F}"/>
            </c:ext>
          </c:extLst>
        </c:ser>
        <c:ser>
          <c:idx val="2"/>
          <c:order val="2"/>
          <c:tx>
            <c:strRef>
              <c:f>ReqFunBackend!$M$12</c:f>
              <c:strCache>
                <c:ptCount val="1"/>
                <c:pt idx="0">
                  <c:v>Requeriminetos 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ReqFunBackend!$M$13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3C-4DC7-A24A-96DDD95B1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6"/>
        <c:overlap val="-27"/>
        <c:axId val="1441225735"/>
        <c:axId val="1441229319"/>
      </c:barChart>
      <c:catAx>
        <c:axId val="1441225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29319"/>
        <c:crosses val="autoZero"/>
        <c:auto val="1"/>
        <c:lblAlgn val="ctr"/>
        <c:lblOffset val="100"/>
        <c:noMultiLvlLbl val="0"/>
      </c:catAx>
      <c:valAx>
        <c:axId val="1441229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2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ReqNoFunBackend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51-407F-A73C-C82901751AB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51-407F-A73C-C82901751AB9}"/>
              </c:ext>
            </c:extLst>
          </c:dPt>
          <c:cat>
            <c:strRef>
              <c:f>ReqNoFunBackend!$K$12:$M$12</c:f>
              <c:strCache>
                <c:ptCount val="3"/>
                <c:pt idx="0">
                  <c:v>Requeriminetos cumplidos </c:v>
                </c:pt>
                <c:pt idx="1">
                  <c:v>Requeriminetos parcial</c:v>
                </c:pt>
                <c:pt idx="2">
                  <c:v>Requeriminetos no</c:v>
                </c:pt>
              </c:strCache>
            </c:strRef>
          </c:cat>
          <c:val>
            <c:numRef>
              <c:f>ReqNoFunBackend!$K$13:$M$13</c:f>
              <c:numCache>
                <c:formatCode>General</c:formatCode>
                <c:ptCount val="3"/>
                <c:pt idx="0">
                  <c:v>15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25F-4BC7-B440-044F19611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63272"/>
        <c:axId val="372793864"/>
      </c:barChart>
      <c:catAx>
        <c:axId val="7156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3864"/>
        <c:crosses val="autoZero"/>
        <c:auto val="1"/>
        <c:lblAlgn val="ctr"/>
        <c:lblOffset val="100"/>
        <c:noMultiLvlLbl val="0"/>
      </c:catAx>
      <c:valAx>
        <c:axId val="37279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6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ReqFunFrontend!$K$12</c:f>
              <c:strCache>
                <c:ptCount val="1"/>
                <c:pt idx="0">
                  <c:v>Requeriminetos cumplidos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ReqFunFrontend!$K$13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2-4BB0-B98E-15D6DFEB2EDB}"/>
            </c:ext>
          </c:extLst>
        </c:ser>
        <c:ser>
          <c:idx val="1"/>
          <c:order val="1"/>
          <c:tx>
            <c:strRef>
              <c:f>ReqFunFrontend!$L$12</c:f>
              <c:strCache>
                <c:ptCount val="1"/>
                <c:pt idx="0">
                  <c:v>Requeriminetos parcial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ReqFunFrontend!$L$13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2-4BB0-B98E-15D6DFEB2EDB}"/>
            </c:ext>
          </c:extLst>
        </c:ser>
        <c:ser>
          <c:idx val="2"/>
          <c:order val="2"/>
          <c:tx>
            <c:strRef>
              <c:f>ReqFunFrontend!$M$12</c:f>
              <c:strCache>
                <c:ptCount val="1"/>
                <c:pt idx="0">
                  <c:v>Requeriminetos 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ReqFunFrontend!$M$13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92-4BB0-B98E-15D6DFEB2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262407"/>
        <c:axId val="756274183"/>
      </c:barChart>
      <c:catAx>
        <c:axId val="756262407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74183"/>
        <c:crosses val="autoZero"/>
        <c:auto val="1"/>
        <c:lblAlgn val="ctr"/>
        <c:lblOffset val="100"/>
        <c:noMultiLvlLbl val="0"/>
      </c:catAx>
      <c:valAx>
        <c:axId val="756274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62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ReqNoFunFrontend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ReqNoFunFrontend!$K$12</c:f>
              <c:strCache>
                <c:ptCount val="1"/>
                <c:pt idx="0">
                  <c:v>Requeriminetos cumplidos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ReqNoFunFrontend!$K$13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A-4A06-8F59-0883645065BA}"/>
            </c:ext>
          </c:extLst>
        </c:ser>
        <c:ser>
          <c:idx val="1"/>
          <c:order val="1"/>
          <c:tx>
            <c:strRef>
              <c:f>ReqNoFunFrontend!$L$12</c:f>
              <c:strCache>
                <c:ptCount val="1"/>
                <c:pt idx="0">
                  <c:v>Requeriminetos parcial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ReqNoFunFrontend!$L$13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6A-4A06-8F59-0883645065BA}"/>
            </c:ext>
          </c:extLst>
        </c:ser>
        <c:ser>
          <c:idx val="2"/>
          <c:order val="2"/>
          <c:tx>
            <c:strRef>
              <c:f>ReqNoFunFrontend!$M$12</c:f>
              <c:strCache>
                <c:ptCount val="1"/>
                <c:pt idx="0">
                  <c:v>Requeriminetos 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ReqNoFunFrontend!$M$13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6A-4A06-8F59-088364506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790792"/>
        <c:axId val="372792840"/>
      </c:barChart>
      <c:catAx>
        <c:axId val="37279079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2840"/>
        <c:crosses val="autoZero"/>
        <c:auto val="1"/>
        <c:lblAlgn val="ctr"/>
        <c:lblOffset val="100"/>
        <c:noMultiLvlLbl val="0"/>
      </c:catAx>
      <c:valAx>
        <c:axId val="37279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ReqFunBD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ReqNoFunFrontend!$K$12</c:f>
              <c:strCache>
                <c:ptCount val="1"/>
                <c:pt idx="0">
                  <c:v>Requeriminetos cumplidos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ReqNoFunFrontend!$K$13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2-4B95-90D5-582882357AB5}"/>
            </c:ext>
          </c:extLst>
        </c:ser>
        <c:ser>
          <c:idx val="1"/>
          <c:order val="1"/>
          <c:tx>
            <c:strRef>
              <c:f>ReqNoFunFrontend!$L$12</c:f>
              <c:strCache>
                <c:ptCount val="1"/>
                <c:pt idx="0">
                  <c:v>Requeriminetos parcial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ReqNoFunFrontend!$L$13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C2-4B95-90D5-582882357AB5}"/>
            </c:ext>
          </c:extLst>
        </c:ser>
        <c:ser>
          <c:idx val="2"/>
          <c:order val="2"/>
          <c:tx>
            <c:strRef>
              <c:f>ReqNoFunFrontend!$M$12</c:f>
              <c:strCache>
                <c:ptCount val="1"/>
                <c:pt idx="0">
                  <c:v>Requeriminetos 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ReqNoFunFrontend!$M$13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C2-4B95-90D5-582882357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790792"/>
        <c:axId val="372792840"/>
      </c:barChart>
      <c:catAx>
        <c:axId val="37279079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2840"/>
        <c:crosses val="autoZero"/>
        <c:auto val="1"/>
        <c:lblAlgn val="ctr"/>
        <c:lblOffset val="100"/>
        <c:noMultiLvlLbl val="0"/>
      </c:catAx>
      <c:valAx>
        <c:axId val="37279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ReqFunBD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ReqNoFunFrontend!$K$12</c:f>
              <c:strCache>
                <c:ptCount val="1"/>
                <c:pt idx="0">
                  <c:v>Requeriminetos cumplidos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ReqNoFunFrontend!$K$13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B-4F61-A880-B10E30D233FF}"/>
            </c:ext>
          </c:extLst>
        </c:ser>
        <c:ser>
          <c:idx val="1"/>
          <c:order val="1"/>
          <c:tx>
            <c:strRef>
              <c:f>ReqNoFunFrontend!$L$12</c:f>
              <c:strCache>
                <c:ptCount val="1"/>
                <c:pt idx="0">
                  <c:v>Requeriminetos parcial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ReqNoFunFrontend!$L$13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B-4F61-A880-B10E30D233FF}"/>
            </c:ext>
          </c:extLst>
        </c:ser>
        <c:ser>
          <c:idx val="2"/>
          <c:order val="2"/>
          <c:tx>
            <c:strRef>
              <c:f>ReqNoFunFrontend!$M$12</c:f>
              <c:strCache>
                <c:ptCount val="1"/>
                <c:pt idx="0">
                  <c:v>Requeriminetos 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ReqNoFunFrontend!$M$13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DB-4F61-A880-B10E30D23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790792"/>
        <c:axId val="372792840"/>
      </c:barChart>
      <c:catAx>
        <c:axId val="37279079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2840"/>
        <c:crosses val="autoZero"/>
        <c:auto val="1"/>
        <c:lblAlgn val="ctr"/>
        <c:lblOffset val="100"/>
        <c:noMultiLvlLbl val="0"/>
      </c:catAx>
      <c:valAx>
        <c:axId val="37279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752475</xdr:colOff>
      <xdr:row>5</xdr:row>
      <xdr:rowOff>114300</xdr:rowOff>
    </xdr:from>
    <xdr:to>
      <xdr:col>13</xdr:col>
      <xdr:colOff>752475</xdr:colOff>
      <xdr:row>9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8A3C3D-75BF-FA5E-56C1-A3CAAD6D2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714375</xdr:colOff>
      <xdr:row>14</xdr:row>
      <xdr:rowOff>47625</xdr:rowOff>
    </xdr:from>
    <xdr:to>
      <xdr:col>12</xdr:col>
      <xdr:colOff>533400</xdr:colOff>
      <xdr:row>27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C456414-837A-237D-358B-A8E87512A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733425</xdr:colOff>
      <xdr:row>14</xdr:row>
      <xdr:rowOff>66675</xdr:rowOff>
    </xdr:from>
    <xdr:to>
      <xdr:col>11</xdr:col>
      <xdr:colOff>1152525</xdr:colOff>
      <xdr:row>25</xdr:row>
      <xdr:rowOff>152400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BD3B628-049F-AC5E-E31B-9D473B72A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952500</xdr:colOff>
      <xdr:row>14</xdr:row>
      <xdr:rowOff>38100</xdr:rowOff>
    </xdr:from>
    <xdr:to>
      <xdr:col>12</xdr:col>
      <xdr:colOff>552450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95F34E-E875-558B-2052-3FE9F29AE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857250</xdr:colOff>
      <xdr:row>13</xdr:row>
      <xdr:rowOff>152400</xdr:rowOff>
    </xdr:from>
    <xdr:to>
      <xdr:col>12</xdr:col>
      <xdr:colOff>457200</xdr:colOff>
      <xdr:row>25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1B2041-B8C5-7058-F8CB-FC4317AD8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857250</xdr:colOff>
      <xdr:row>13</xdr:row>
      <xdr:rowOff>152400</xdr:rowOff>
    </xdr:from>
    <xdr:to>
      <xdr:col>12</xdr:col>
      <xdr:colOff>457200</xdr:colOff>
      <xdr:row>25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65AAFC-7582-4E71-833D-038CF5047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857250</xdr:colOff>
      <xdr:row>13</xdr:row>
      <xdr:rowOff>152400</xdr:rowOff>
    </xdr:from>
    <xdr:to>
      <xdr:col>12</xdr:col>
      <xdr:colOff>457200</xdr:colOff>
      <xdr:row>25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BD94A5-F1D3-454D-9A79-21E190572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E541C5-2F8A-48A2-85A2-554A5F7C64E7}" name="Tabla3235" displayName="Tabla3235" ref="J12:M13" totalsRowShown="0">
  <autoFilter ref="J12:M13" xr:uid="{5EE541C5-2F8A-48A2-85A2-554A5F7C64E7}"/>
  <tableColumns count="4">
    <tableColumn id="1" xr3:uid="{4511228E-6C13-41F7-947B-6426123C191B}" name="total de requerimintos ">
      <calculatedColumnFormula>COUNTA(B12:B50)</calculatedColumnFormula>
    </tableColumn>
    <tableColumn id="2" xr3:uid="{11231644-1001-4FB4-884E-B766AB8440F8}" name="Requeriminetos cumplidos ">
      <calculatedColumnFormula>COUNTIF(E12:E50,"X")</calculatedColumnFormula>
    </tableColumn>
    <tableColumn id="3" xr3:uid="{E2A39521-0BA8-444D-9B91-781C6CF90F08}" name="Requeriminetos parcial">
      <calculatedColumnFormula>COUNTIF(F12:F50,"X")</calculatedColumnFormula>
    </tableColumn>
    <tableColumn id="4" xr3:uid="{3BD28959-395C-4EAE-B33A-640E0306F03B}" name="Requeriminetos no">
      <calculatedColumnFormula>COUNTIF(G12:G50,"X")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306D6-0A67-4D84-A06C-70552CF54CDF}" name="Tabla32" displayName="Tabla32" ref="J12:M13" totalsRowShown="0">
  <autoFilter ref="J12:M13" xr:uid="{706306D6-0A67-4D84-A06C-70552CF54CDF}"/>
  <tableColumns count="4">
    <tableColumn id="1" xr3:uid="{766239F5-7DB0-480C-B8D9-F320AFE1FE4F}" name="total de requerimintos ">
      <calculatedColumnFormula>COUNTA(B12:B35)</calculatedColumnFormula>
    </tableColumn>
    <tableColumn id="2" xr3:uid="{DA32A51D-8D74-404E-9197-6929AE7A3F18}" name="Requeriminetos cumplidos ">
      <calculatedColumnFormula>COUNTIF(E12:E35,"X")</calculatedColumnFormula>
    </tableColumn>
    <tableColumn id="3" xr3:uid="{65F28CED-F3C1-4829-AEA1-0BEF10D07381}" name="Requeriminetos parcial">
      <calculatedColumnFormula>COUNTIF(F12:F35,"X")</calculatedColumnFormula>
    </tableColumn>
    <tableColumn id="4" xr3:uid="{F3CB08B3-C9AB-4834-A315-CCB68E7CBC99}" name="Requeriminetos no">
      <calculatedColumnFormula>COUNTIF(G12:G35,"X")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837438-71A6-41F7-8F12-99765BEEA96B}" name="Tabla323" displayName="Tabla323" ref="J12:M13" totalsRowShown="0">
  <autoFilter ref="J12:M13" xr:uid="{63837438-71A6-41F7-8F12-99765BEEA96B}"/>
  <tableColumns count="4">
    <tableColumn id="1" xr3:uid="{1E08D610-E73A-45DB-B87E-166D5C905F0C}" name="total de requerimintos ">
      <calculatedColumnFormula>COUNTA(B12:B50)</calculatedColumnFormula>
    </tableColumn>
    <tableColumn id="2" xr3:uid="{FADE2626-AE9F-4EB4-9661-869BB0400B19}" name="Requeriminetos cumplidos ">
      <calculatedColumnFormula>COUNTIF(E12:E50,"X")</calculatedColumnFormula>
    </tableColumn>
    <tableColumn id="3" xr3:uid="{C7F0AFC5-3B4E-47B1-9D64-3310D11A228F}" name="Requeriminetos parcial">
      <calculatedColumnFormula>COUNTIF(F12:F50,"X")</calculatedColumnFormula>
    </tableColumn>
    <tableColumn id="4" xr3:uid="{5098C8D2-F3D7-49CA-BA1E-558444CD26B6}" name="Requeriminetos no">
      <calculatedColumnFormula>COUNTIF(G12:G50,"X")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158E36-4465-4E04-AF3B-2ACC186865AC}" name="Tabla3236" displayName="Tabla3236" ref="J12:M13" totalsRowShown="0">
  <autoFilter ref="J12:M13" xr:uid="{3A158E36-4465-4E04-AF3B-2ACC186865AC}"/>
  <tableColumns count="4">
    <tableColumn id="1" xr3:uid="{248EE71A-8733-4121-80F1-FFDC1115DB60}" name="total de requerimintos ">
      <calculatedColumnFormula>COUNTA(B12:B50)</calculatedColumnFormula>
    </tableColumn>
    <tableColumn id="2" xr3:uid="{E12942D1-CBE3-421B-BFB1-D90026664CFC}" name="Requeriminetos cumplidos ">
      <calculatedColumnFormula>COUNTIF(E12:E50,"X")</calculatedColumnFormula>
    </tableColumn>
    <tableColumn id="3" xr3:uid="{E99F8599-3C29-4555-942D-EF0DE6DA93BC}" name="Requeriminetos parcial">
      <calculatedColumnFormula>COUNTIF(F12:F50,"X")</calculatedColumnFormula>
    </tableColumn>
    <tableColumn id="4" xr3:uid="{66F18E6B-87C7-498A-AA39-CEB0741547B8}" name="Requeriminetos no">
      <calculatedColumnFormula>COUNTIF(G12:G50,"X")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043704-C1FF-481B-B0A9-206EE4723E67}" name="Tabla32367" displayName="Tabla32367" ref="J12:M13" totalsRowShown="0">
  <autoFilter ref="J12:M13" xr:uid="{F9043704-C1FF-481B-B0A9-206EE4723E67}"/>
  <tableColumns count="4">
    <tableColumn id="1" xr3:uid="{342C32A6-50E1-4E76-80D9-63D77FDF978C}" name="total de requerimintos ">
      <calculatedColumnFormula>COUNTA(B12:B50)</calculatedColumnFormula>
    </tableColumn>
    <tableColumn id="2" xr3:uid="{5FEBA033-51E1-4028-9DDA-A4D5CC056891}" name="Requeriminetos cumplidos ">
      <calculatedColumnFormula>COUNTIF(E12:E50,"X")</calculatedColumnFormula>
    </tableColumn>
    <tableColumn id="3" xr3:uid="{E33CFD9D-E934-41F8-895D-CF7D79A76F49}" name="Requeriminetos parcial">
      <calculatedColumnFormula>COUNTIF(F12:F50,"X")</calculatedColumnFormula>
    </tableColumn>
    <tableColumn id="4" xr3:uid="{1B0FA8FA-73E7-408F-B31C-84FCDFA9EAA8}" name="Requeriminetos no">
      <calculatedColumnFormula>COUNTIF(G12:G50,"X")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154757-1DF4-469A-BCE6-8673908EC408}" name="Tabla323678" displayName="Tabla323678" ref="J12:M13" totalsRowShown="0">
  <autoFilter ref="J12:M13" xr:uid="{7D154757-1DF4-469A-BCE6-8673908EC408}"/>
  <tableColumns count="4">
    <tableColumn id="1" xr3:uid="{18136DEC-8441-4CCF-B1AF-8769D2867DAF}" name="total de requerimintos ">
      <calculatedColumnFormula>COUNTA(B12:B50)</calculatedColumnFormula>
    </tableColumn>
    <tableColumn id="2" xr3:uid="{350BF357-113E-4FE6-9846-76D4092EFBD6}" name="Requeriminetos cumplidos ">
      <calculatedColumnFormula>COUNTIF(E12:E50,"X")</calculatedColumnFormula>
    </tableColumn>
    <tableColumn id="3" xr3:uid="{47FB53FC-E813-4594-94B1-E69390A438CF}" name="Requeriminetos parcial">
      <calculatedColumnFormula>COUNTIF(F12:F50,"X")</calculatedColumnFormula>
    </tableColumn>
    <tableColumn id="4" xr3:uid="{F2949F2F-60B1-405C-9B91-7846FEDC6164}" name="Requeriminetos no">
      <calculatedColumnFormula>COUNTIF(G12:G50,"X")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0"/>
  <sheetViews>
    <sheetView tabSelected="1" workbookViewId="0">
      <selection activeCell="G11" sqref="G11"/>
    </sheetView>
  </sheetViews>
  <sheetFormatPr defaultColWidth="11.42578125" defaultRowHeight="14.45"/>
  <cols>
    <col min="2" max="2" width="40.140625" bestFit="1" customWidth="1"/>
    <col min="3" max="3" width="54.28515625" customWidth="1"/>
    <col min="6" max="6" width="17.28515625" bestFit="1" customWidth="1"/>
    <col min="7" max="7" width="14.7109375" customWidth="1"/>
  </cols>
  <sheetData>
    <row r="1" spans="2:8" ht="15"/>
    <row r="2" spans="2:8" ht="18.75">
      <c r="B2" s="59" t="s">
        <v>0</v>
      </c>
    </row>
    <row r="3" spans="2:8" ht="15.75">
      <c r="B3" s="60" t="s">
        <v>1</v>
      </c>
    </row>
    <row r="4" spans="2:8" ht="15">
      <c r="B4" s="61" t="s">
        <v>2</v>
      </c>
    </row>
    <row r="5" spans="2:8" ht="15">
      <c r="B5" s="62" t="s">
        <v>3</v>
      </c>
      <c r="C5" s="62" t="s">
        <v>4</v>
      </c>
      <c r="F5" s="62" t="s">
        <v>5</v>
      </c>
      <c r="G5" s="62" t="s">
        <v>6</v>
      </c>
    </row>
    <row r="6" spans="2:8" ht="72.75">
      <c r="B6" s="63" t="s">
        <v>7</v>
      </c>
      <c r="C6" s="63" t="s">
        <v>8</v>
      </c>
      <c r="F6" s="63" t="s">
        <v>9</v>
      </c>
      <c r="G6" s="63" cm="1">
        <f t="array" ref="G6">Tabla3235[[total de requerimintos ]]+Tabla32[[total de requerimintos ]]+Tabla323[[total de requerimintos ]]+Tabla3236[[total de requerimintos ]]+Tabla32367[[total de requerimintos ]]+Tabla323678[[total de requerimintos ]]</f>
        <v>158</v>
      </c>
    </row>
    <row r="7" spans="2:8" ht="57.75">
      <c r="B7" s="63" t="s">
        <v>10</v>
      </c>
      <c r="C7" s="63" t="s">
        <v>11</v>
      </c>
      <c r="F7" s="63" t="s">
        <v>12</v>
      </c>
      <c r="G7" s="63" cm="1">
        <f t="array" ref="G7">Tabla3235[[Requeriminetos cumplidos ]]+Tabla32[[Requeriminetos cumplidos ]]+Tabla323[[Requeriminetos cumplidos ]]+Tabla3236[[Requeriminetos cumplidos ]]+Tabla32367[[Requeriminetos cumplidos ]]+Tabla323678[[Requeriminetos cumplidos ]]</f>
        <v>129</v>
      </c>
    </row>
    <row r="8" spans="2:8" ht="43.5">
      <c r="B8" s="63" t="s">
        <v>13</v>
      </c>
      <c r="C8" s="63" t="s">
        <v>14</v>
      </c>
      <c r="F8" s="63" t="s">
        <v>15</v>
      </c>
      <c r="G8" s="63" cm="1">
        <f t="array" ref="G8">Tabla3235[Requeriminetos parcial]+Tabla32[Requeriminetos parcial]+Tabla323[Requeriminetos parcial]+Tabla3236[Requeriminetos parcial]+Tabla32367[Requeriminetos parcial]+Tabla323678[Requeriminetos parcial]</f>
        <v>25</v>
      </c>
    </row>
    <row r="9" spans="2:8" ht="43.5">
      <c r="B9" s="63" t="s">
        <v>16</v>
      </c>
      <c r="C9" s="63" t="s">
        <v>17</v>
      </c>
      <c r="F9" s="63" t="s">
        <v>18</v>
      </c>
      <c r="G9" s="63" cm="1">
        <f t="array" ref="G9">Tabla3235[Requeriminetos no]+Tabla32[Requeriminetos no]+Tabla323[Requeriminetos no]+Tabla3236[Requeriminetos no]+Tabla32367[Requeriminetos no]+Tabla323678[Requeriminetos no]</f>
        <v>4</v>
      </c>
    </row>
    <row r="10" spans="2:8" ht="43.5">
      <c r="B10" s="63" t="s">
        <v>19</v>
      </c>
      <c r="C10" s="63" t="s">
        <v>20</v>
      </c>
      <c r="F10" s="63" t="s">
        <v>21</v>
      </c>
      <c r="G10" s="64">
        <f>(G7/G6)</f>
        <v>0.81645569620253167</v>
      </c>
      <c r="H10" s="64"/>
    </row>
    <row r="11" spans="2:8" ht="57.75">
      <c r="B11" s="63" t="s">
        <v>22</v>
      </c>
      <c r="C11" s="63" t="s">
        <v>23</v>
      </c>
    </row>
    <row r="12" spans="2:8" ht="43.5">
      <c r="B12" s="63" t="s">
        <v>24</v>
      </c>
      <c r="C12" s="63" t="s">
        <v>25</v>
      </c>
    </row>
    <row r="13" spans="2:8" ht="57.75">
      <c r="B13" s="63" t="s">
        <v>26</v>
      </c>
      <c r="C13" s="63" t="s">
        <v>27</v>
      </c>
    </row>
    <row r="14" spans="2:8" ht="43.5">
      <c r="B14" s="63" t="s">
        <v>28</v>
      </c>
      <c r="C14" s="63" t="s">
        <v>29</v>
      </c>
    </row>
    <row r="15" spans="2:8" ht="43.5">
      <c r="B15" s="63" t="s">
        <v>30</v>
      </c>
      <c r="C15" s="63" t="s">
        <v>31</v>
      </c>
    </row>
    <row r="16" spans="2:8" ht="29.25">
      <c r="B16" s="63" t="s">
        <v>32</v>
      </c>
      <c r="C16" s="63" t="s">
        <v>33</v>
      </c>
    </row>
    <row r="17" spans="2:3" ht="43.5">
      <c r="B17" s="63" t="s">
        <v>34</v>
      </c>
      <c r="C17" s="63" t="s">
        <v>35</v>
      </c>
    </row>
    <row r="18" spans="2:3" ht="43.5">
      <c r="B18" s="63" t="s">
        <v>36</v>
      </c>
      <c r="C18" s="63" t="s">
        <v>37</v>
      </c>
    </row>
    <row r="19" spans="2:3" ht="43.5">
      <c r="B19" s="63" t="s">
        <v>38</v>
      </c>
      <c r="C19" s="63" t="s">
        <v>39</v>
      </c>
    </row>
    <row r="20" spans="2:3" ht="43.5">
      <c r="B20" s="63" t="s">
        <v>40</v>
      </c>
      <c r="C20" s="63" t="s">
        <v>41</v>
      </c>
    </row>
    <row r="21" spans="2:3" ht="43.5">
      <c r="B21" s="63" t="s">
        <v>42</v>
      </c>
      <c r="C21" s="63" t="s">
        <v>43</v>
      </c>
    </row>
    <row r="22" spans="2:3" ht="43.5">
      <c r="B22" s="63" t="s">
        <v>44</v>
      </c>
      <c r="C22" s="63" t="s">
        <v>45</v>
      </c>
    </row>
    <row r="23" spans="2:3" ht="43.5">
      <c r="B23" s="63" t="s">
        <v>46</v>
      </c>
      <c r="C23" s="63" t="s">
        <v>47</v>
      </c>
    </row>
    <row r="24" spans="2:3" ht="43.5">
      <c r="B24" s="63" t="s">
        <v>48</v>
      </c>
      <c r="C24" s="63" t="s">
        <v>49</v>
      </c>
    </row>
    <row r="25" spans="2:3" ht="43.5">
      <c r="B25" s="63" t="s">
        <v>50</v>
      </c>
      <c r="C25" s="63" t="s">
        <v>51</v>
      </c>
    </row>
    <row r="26" spans="2:3" ht="43.5">
      <c r="B26" s="63" t="s">
        <v>52</v>
      </c>
      <c r="C26" s="63" t="s">
        <v>53</v>
      </c>
    </row>
    <row r="27" spans="2:3" ht="43.5">
      <c r="B27" s="63" t="s">
        <v>54</v>
      </c>
      <c r="C27" s="63" t="s">
        <v>55</v>
      </c>
    </row>
    <row r="28" spans="2:3" ht="15"/>
    <row r="29" spans="2:3" ht="15">
      <c r="B29" s="62" t="s">
        <v>56</v>
      </c>
      <c r="C29" s="62" t="s">
        <v>57</v>
      </c>
    </row>
    <row r="30" spans="2:3" ht="15">
      <c r="B30" s="63" t="s">
        <v>58</v>
      </c>
      <c r="C30" s="63" t="s">
        <v>59</v>
      </c>
    </row>
    <row r="31" spans="2:3" ht="15">
      <c r="B31" s="63" t="s">
        <v>60</v>
      </c>
      <c r="C31" s="63" t="s">
        <v>61</v>
      </c>
    </row>
    <row r="32" spans="2:3" ht="15">
      <c r="B32" s="63" t="s">
        <v>62</v>
      </c>
      <c r="C32" s="63" t="s">
        <v>63</v>
      </c>
    </row>
    <row r="33" spans="2:3" ht="15">
      <c r="B33" s="63" t="s">
        <v>64</v>
      </c>
      <c r="C33" s="63" t="s">
        <v>65</v>
      </c>
    </row>
    <row r="34" spans="2:3" ht="15">
      <c r="B34" s="63" t="s">
        <v>66</v>
      </c>
      <c r="C34" s="63" t="s">
        <v>67</v>
      </c>
    </row>
    <row r="35" spans="2:3" ht="15">
      <c r="B35" s="63" t="s">
        <v>68</v>
      </c>
      <c r="C35" s="63" t="s">
        <v>69</v>
      </c>
    </row>
    <row r="36" spans="2:3" ht="29.25">
      <c r="B36" s="63" t="s">
        <v>70</v>
      </c>
      <c r="C36" s="63" t="s">
        <v>71</v>
      </c>
    </row>
    <row r="37" spans="2:3" ht="15">
      <c r="B37" s="63" t="s">
        <v>72</v>
      </c>
      <c r="C37" s="63" t="s">
        <v>73</v>
      </c>
    </row>
    <row r="38" spans="2:3" ht="29.25">
      <c r="B38" s="63" t="s">
        <v>74</v>
      </c>
      <c r="C38" s="63" t="s">
        <v>75</v>
      </c>
    </row>
    <row r="39" spans="2:3" ht="15">
      <c r="B39" s="63" t="s">
        <v>76</v>
      </c>
      <c r="C39" s="63" t="s">
        <v>77</v>
      </c>
    </row>
    <row r="40" spans="2:3" ht="29.25">
      <c r="B40" s="63" t="s">
        <v>78</v>
      </c>
      <c r="C40" s="63" t="s">
        <v>79</v>
      </c>
    </row>
    <row r="41" spans="2:3" ht="29.25">
      <c r="B41" s="63" t="s">
        <v>80</v>
      </c>
      <c r="C41" s="63" t="s">
        <v>81</v>
      </c>
    </row>
    <row r="42" spans="2:3" ht="15">
      <c r="B42" s="63" t="s">
        <v>82</v>
      </c>
      <c r="C42" s="63" t="s">
        <v>83</v>
      </c>
    </row>
    <row r="43" spans="2:3" ht="15">
      <c r="B43" s="63" t="s">
        <v>84</v>
      </c>
      <c r="C43" s="63" t="s">
        <v>85</v>
      </c>
    </row>
    <row r="44" spans="2:3" ht="15">
      <c r="B44" s="63" t="s">
        <v>86</v>
      </c>
      <c r="C44" s="63" t="s">
        <v>87</v>
      </c>
    </row>
    <row r="45" spans="2:3" ht="15">
      <c r="B45" s="63" t="s">
        <v>88</v>
      </c>
      <c r="C45" s="63" t="s">
        <v>89</v>
      </c>
    </row>
    <row r="46" spans="2:3" ht="15">
      <c r="B46" s="63" t="s">
        <v>90</v>
      </c>
      <c r="C46" s="63" t="s">
        <v>91</v>
      </c>
    </row>
    <row r="47" spans="2:3" ht="15">
      <c r="B47" s="63" t="s">
        <v>92</v>
      </c>
      <c r="C47" s="63" t="s">
        <v>93</v>
      </c>
    </row>
    <row r="48" spans="2:3" ht="15">
      <c r="B48" s="63" t="s">
        <v>94</v>
      </c>
      <c r="C48" s="63" t="s">
        <v>95</v>
      </c>
    </row>
    <row r="49" spans="2:3" ht="15">
      <c r="B49" s="63" t="s">
        <v>96</v>
      </c>
      <c r="C49" s="63" t="s">
        <v>97</v>
      </c>
    </row>
    <row r="50" spans="2:3" ht="1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44"/>
  <sheetViews>
    <sheetView topLeftCell="B4" zoomScale="70" zoomScaleNormal="70" workbookViewId="0">
      <selection activeCell="J9" sqref="J9"/>
    </sheetView>
  </sheetViews>
  <sheetFormatPr defaultColWidth="11.42578125" defaultRowHeight="14.45"/>
  <cols>
    <col min="1" max="1" width="16.7109375" customWidth="1"/>
    <col min="2" max="2" width="4.28515625" bestFit="1" customWidth="1"/>
    <col min="3" max="3" width="75.28515625" bestFit="1" customWidth="1"/>
    <col min="8" max="8" width="15.28515625" bestFit="1" customWidth="1"/>
    <col min="10" max="10" width="32.42578125" bestFit="1" customWidth="1"/>
    <col min="11" max="11" width="27.42578125" bestFit="1" customWidth="1"/>
    <col min="12" max="12" width="23.85546875" bestFit="1" customWidth="1"/>
    <col min="13" max="13" width="19.85546875" bestFit="1" customWidth="1"/>
  </cols>
  <sheetData>
    <row r="2" spans="2:13" ht="47.45" customHeight="1">
      <c r="B2" s="86" t="s">
        <v>98</v>
      </c>
      <c r="C2" s="93"/>
      <c r="D2" s="93"/>
      <c r="E2" s="93"/>
      <c r="F2" s="93"/>
      <c r="G2" s="93"/>
      <c r="H2" s="93"/>
    </row>
    <row r="3" spans="2:13">
      <c r="B3" s="1"/>
      <c r="C3" s="1"/>
    </row>
    <row r="4" spans="2:13" ht="15.6" customHeight="1">
      <c r="B4" s="2" t="s">
        <v>99</v>
      </c>
      <c r="C4" s="3" t="s">
        <v>100</v>
      </c>
    </row>
    <row r="5" spans="2:13" ht="15.6" customHeight="1">
      <c r="B5" s="2" t="s">
        <v>101</v>
      </c>
      <c r="C5" s="3" t="s">
        <v>102</v>
      </c>
    </row>
    <row r="6" spans="2:13" ht="15.6" customHeight="1">
      <c r="B6" s="2" t="s">
        <v>103</v>
      </c>
      <c r="C6" s="3" t="s">
        <v>104</v>
      </c>
    </row>
    <row r="7" spans="2:13" ht="15.6" customHeight="1">
      <c r="B7" s="84" t="s">
        <v>105</v>
      </c>
      <c r="C7" s="93"/>
    </row>
    <row r="8" spans="2:13" ht="15.6" customHeight="1">
      <c r="B8" s="4"/>
      <c r="C8" s="4"/>
    </row>
    <row r="9" spans="2:13" ht="15">
      <c r="E9" s="83" t="s">
        <v>106</v>
      </c>
      <c r="F9" s="94"/>
      <c r="G9" s="95"/>
      <c r="H9" s="83" t="s">
        <v>107</v>
      </c>
    </row>
    <row r="10" spans="2:13" ht="18" customHeight="1">
      <c r="B10" s="85" t="s">
        <v>108</v>
      </c>
      <c r="C10" s="96"/>
      <c r="D10" s="5"/>
      <c r="E10" s="6" t="s">
        <v>99</v>
      </c>
      <c r="F10" s="7" t="s">
        <v>109</v>
      </c>
      <c r="G10" s="7" t="s">
        <v>101</v>
      </c>
      <c r="H10" s="97"/>
      <c r="I10" s="8"/>
    </row>
    <row r="11" spans="2:13">
      <c r="B11" s="9"/>
      <c r="C11" s="10"/>
      <c r="H11" s="11"/>
    </row>
    <row r="12" spans="2:13" ht="15" customHeight="1">
      <c r="B12" s="13">
        <v>1</v>
      </c>
      <c r="C12" s="17" t="s">
        <v>110</v>
      </c>
      <c r="E12" s="44" t="s">
        <v>111</v>
      </c>
      <c r="F12" s="41"/>
      <c r="G12" s="12"/>
      <c r="H12" s="12"/>
      <c r="J12" t="s">
        <v>112</v>
      </c>
      <c r="K12" t="s">
        <v>113</v>
      </c>
      <c r="L12" t="s">
        <v>114</v>
      </c>
      <c r="M12" t="s">
        <v>115</v>
      </c>
    </row>
    <row r="13" spans="2:13" ht="15">
      <c r="B13" s="13">
        <v>2</v>
      </c>
      <c r="C13" s="14" t="s">
        <v>116</v>
      </c>
      <c r="E13" s="44" t="s">
        <v>111</v>
      </c>
      <c r="F13" s="12"/>
      <c r="G13" s="12"/>
      <c r="H13" s="12"/>
      <c r="J13">
        <f>COUNTA(B12:B50)</f>
        <v>32</v>
      </c>
      <c r="K13">
        <f>COUNTIF(E12:E50,"X")</f>
        <v>32</v>
      </c>
      <c r="L13">
        <f>COUNTIF(F12:F50,"X")</f>
        <v>0</v>
      </c>
      <c r="M13">
        <f>COUNTIF(G12:G50,"X")</f>
        <v>0</v>
      </c>
    </row>
    <row r="14" spans="2:13" ht="15">
      <c r="B14" s="13">
        <v>3</v>
      </c>
      <c r="C14" s="14" t="s">
        <v>117</v>
      </c>
      <c r="E14" s="44" t="s">
        <v>111</v>
      </c>
      <c r="F14" s="12"/>
      <c r="G14" s="12"/>
      <c r="H14" s="12"/>
    </row>
    <row r="15" spans="2:13" ht="15">
      <c r="B15" s="13">
        <v>4</v>
      </c>
      <c r="C15" s="14" t="s">
        <v>118</v>
      </c>
      <c r="E15" s="44" t="s">
        <v>111</v>
      </c>
      <c r="F15" s="12"/>
      <c r="G15" s="12"/>
      <c r="H15" s="12"/>
    </row>
    <row r="16" spans="2:13" ht="15" customHeight="1">
      <c r="B16" s="13">
        <v>5</v>
      </c>
      <c r="C16" s="14" t="s">
        <v>119</v>
      </c>
      <c r="E16" s="44" t="s">
        <v>111</v>
      </c>
      <c r="F16" s="41"/>
      <c r="G16" s="12"/>
      <c r="H16" s="12"/>
    </row>
    <row r="17" spans="2:8" ht="15">
      <c r="B17" s="13">
        <v>6</v>
      </c>
      <c r="C17" s="14" t="s">
        <v>120</v>
      </c>
      <c r="E17" s="44" t="s">
        <v>111</v>
      </c>
      <c r="F17" s="12"/>
      <c r="G17" s="12"/>
      <c r="H17" s="12"/>
    </row>
    <row r="18" spans="2:8" ht="15">
      <c r="B18" s="13">
        <v>7</v>
      </c>
      <c r="C18" s="14" t="s">
        <v>121</v>
      </c>
      <c r="E18" s="44" t="s">
        <v>111</v>
      </c>
      <c r="F18" s="12"/>
      <c r="G18" s="12"/>
      <c r="H18" s="12"/>
    </row>
    <row r="19" spans="2:8" ht="15">
      <c r="B19" s="13">
        <v>8</v>
      </c>
      <c r="C19" s="14" t="s">
        <v>122</v>
      </c>
      <c r="E19" s="44" t="s">
        <v>111</v>
      </c>
      <c r="F19" s="12"/>
      <c r="G19" s="12"/>
      <c r="H19" s="12"/>
    </row>
    <row r="20" spans="2:8" ht="15">
      <c r="B20" s="13">
        <v>9</v>
      </c>
      <c r="C20" s="14" t="s">
        <v>123</v>
      </c>
      <c r="E20" s="44" t="s">
        <v>111</v>
      </c>
      <c r="F20" s="12"/>
      <c r="G20" s="12"/>
      <c r="H20" s="12"/>
    </row>
    <row r="21" spans="2:8" ht="15">
      <c r="B21" s="13">
        <v>10</v>
      </c>
      <c r="C21" s="14" t="s">
        <v>124</v>
      </c>
      <c r="E21" s="44" t="s">
        <v>111</v>
      </c>
      <c r="F21" s="12"/>
      <c r="G21" s="12"/>
      <c r="H21" s="12"/>
    </row>
    <row r="22" spans="2:8" ht="15">
      <c r="B22" s="13">
        <v>11</v>
      </c>
      <c r="C22" s="14" t="s">
        <v>125</v>
      </c>
      <c r="E22" s="44" t="s">
        <v>111</v>
      </c>
      <c r="F22" s="12"/>
      <c r="G22" s="12"/>
      <c r="H22" s="12"/>
    </row>
    <row r="23" spans="2:8" ht="15">
      <c r="B23" s="13">
        <v>12</v>
      </c>
      <c r="C23" s="14" t="s">
        <v>126</v>
      </c>
      <c r="E23" s="44" t="s">
        <v>111</v>
      </c>
      <c r="F23" s="12"/>
      <c r="G23" s="12"/>
      <c r="H23" s="12"/>
    </row>
    <row r="24" spans="2:8" ht="15">
      <c r="B24" s="13">
        <v>13</v>
      </c>
      <c r="C24" s="14" t="s">
        <v>127</v>
      </c>
      <c r="E24" s="45" t="s">
        <v>111</v>
      </c>
      <c r="F24" s="12"/>
      <c r="G24" s="12"/>
      <c r="H24" s="12"/>
    </row>
    <row r="25" spans="2:8" ht="15">
      <c r="B25" s="16">
        <v>14</v>
      </c>
      <c r="C25" s="39" t="s">
        <v>128</v>
      </c>
      <c r="E25" s="46" t="s">
        <v>111</v>
      </c>
      <c r="F25" s="12"/>
      <c r="G25" s="12"/>
      <c r="H25" s="12"/>
    </row>
    <row r="26" spans="2:8" ht="15" customHeight="1">
      <c r="B26" s="13">
        <v>15</v>
      </c>
      <c r="C26" s="38" t="s">
        <v>129</v>
      </c>
      <c r="D26" s="15"/>
      <c r="E26" s="47" t="s">
        <v>111</v>
      </c>
      <c r="F26" s="12"/>
      <c r="G26" s="41"/>
      <c r="H26" s="41"/>
    </row>
    <row r="27" spans="2:8" ht="28.5" customHeight="1">
      <c r="B27" s="13">
        <v>16</v>
      </c>
      <c r="C27" s="38" t="s">
        <v>130</v>
      </c>
      <c r="D27" s="15"/>
      <c r="E27" s="47" t="s">
        <v>111</v>
      </c>
      <c r="F27" s="12"/>
      <c r="G27" s="41"/>
      <c r="H27" s="41"/>
    </row>
    <row r="28" spans="2:8" ht="15" customHeight="1">
      <c r="B28" s="13">
        <v>17</v>
      </c>
      <c r="C28" s="38" t="s">
        <v>131</v>
      </c>
      <c r="D28" s="15"/>
      <c r="E28" s="47" t="s">
        <v>111</v>
      </c>
      <c r="F28" s="12"/>
      <c r="G28" s="41"/>
      <c r="H28" s="41"/>
    </row>
    <row r="29" spans="2:8" ht="28.5" customHeight="1">
      <c r="B29" s="16">
        <v>18</v>
      </c>
      <c r="C29" s="38" t="s">
        <v>132</v>
      </c>
      <c r="D29" s="15"/>
      <c r="E29" s="47" t="s">
        <v>111</v>
      </c>
      <c r="F29" s="12"/>
      <c r="G29" s="41"/>
      <c r="H29" s="41"/>
    </row>
    <row r="30" spans="2:8" ht="28.5" customHeight="1">
      <c r="B30" s="13">
        <v>19</v>
      </c>
      <c r="C30" s="40" t="s">
        <v>133</v>
      </c>
      <c r="D30" s="15"/>
      <c r="E30" s="47" t="s">
        <v>111</v>
      </c>
      <c r="F30" s="12"/>
      <c r="G30" s="41"/>
      <c r="H30" s="41"/>
    </row>
    <row r="31" spans="2:8" ht="15" customHeight="1">
      <c r="B31" s="13">
        <v>20</v>
      </c>
      <c r="C31" s="38" t="s">
        <v>134</v>
      </c>
      <c r="D31" s="15"/>
      <c r="E31" s="44" t="s">
        <v>111</v>
      </c>
      <c r="F31" s="41"/>
      <c r="G31" s="41"/>
      <c r="H31" s="41"/>
    </row>
    <row r="32" spans="2:8" ht="28.5" customHeight="1">
      <c r="B32" s="13">
        <v>21</v>
      </c>
      <c r="C32" s="38" t="s">
        <v>135</v>
      </c>
      <c r="D32" s="15"/>
      <c r="E32" s="47" t="s">
        <v>111</v>
      </c>
      <c r="F32" s="12"/>
      <c r="G32" s="41"/>
      <c r="H32" s="41"/>
    </row>
    <row r="33" spans="2:8" ht="15" customHeight="1">
      <c r="B33" s="16">
        <v>22</v>
      </c>
      <c r="C33" s="38" t="s">
        <v>136</v>
      </c>
      <c r="D33" s="15"/>
      <c r="E33" s="44" t="s">
        <v>111</v>
      </c>
      <c r="F33" s="12"/>
      <c r="G33" s="41"/>
      <c r="H33" s="41"/>
    </row>
    <row r="34" spans="2:8" ht="15" customHeight="1">
      <c r="B34" s="13">
        <v>23</v>
      </c>
      <c r="C34" s="38" t="s">
        <v>137</v>
      </c>
      <c r="D34" s="15"/>
      <c r="E34" s="47" t="s">
        <v>111</v>
      </c>
      <c r="F34" s="12"/>
      <c r="G34" s="41"/>
      <c r="H34" s="41"/>
    </row>
    <row r="35" spans="2:8" ht="28.5" customHeight="1">
      <c r="B35" s="13">
        <v>24</v>
      </c>
      <c r="C35" s="55" t="s">
        <v>138</v>
      </c>
      <c r="D35" s="15"/>
      <c r="E35" s="45" t="s">
        <v>111</v>
      </c>
      <c r="F35" s="58"/>
      <c r="G35" s="58"/>
      <c r="H35" s="58"/>
    </row>
    <row r="36" spans="2:8" ht="28.5">
      <c r="B36" s="13">
        <v>25</v>
      </c>
      <c r="C36" s="38" t="s">
        <v>139</v>
      </c>
      <c r="D36" s="15"/>
      <c r="E36" s="12" t="s">
        <v>111</v>
      </c>
      <c r="F36" s="12"/>
      <c r="G36" s="41"/>
      <c r="H36" s="41"/>
    </row>
    <row r="37" spans="2:8" ht="15">
      <c r="B37" s="13">
        <v>26</v>
      </c>
      <c r="C37" s="38" t="s">
        <v>140</v>
      </c>
      <c r="D37" s="15"/>
      <c r="E37" s="12" t="s">
        <v>111</v>
      </c>
      <c r="F37" s="12"/>
      <c r="G37" s="41"/>
      <c r="H37" s="41"/>
    </row>
    <row r="38" spans="2:8" ht="28.5">
      <c r="B38" s="16">
        <v>27</v>
      </c>
      <c r="C38" s="38" t="s">
        <v>141</v>
      </c>
      <c r="D38" s="15"/>
      <c r="E38" s="12" t="s">
        <v>111</v>
      </c>
      <c r="F38" s="12"/>
      <c r="G38" s="41"/>
      <c r="H38" s="41"/>
    </row>
    <row r="39" spans="2:8" ht="28.5">
      <c r="B39" s="13">
        <v>28</v>
      </c>
      <c r="C39" s="38" t="s">
        <v>142</v>
      </c>
      <c r="E39" s="41" t="s">
        <v>111</v>
      </c>
      <c r="F39" s="41"/>
      <c r="G39" s="41"/>
      <c r="H39" s="41"/>
    </row>
    <row r="40" spans="2:8" ht="28.5">
      <c r="B40" s="13">
        <v>29</v>
      </c>
      <c r="C40" s="38" t="s">
        <v>143</v>
      </c>
      <c r="E40" s="41" t="s">
        <v>111</v>
      </c>
      <c r="F40" s="41"/>
      <c r="G40" s="41"/>
      <c r="H40" s="41"/>
    </row>
    <row r="41" spans="2:8" ht="15">
      <c r="B41" s="13">
        <v>30</v>
      </c>
      <c r="C41" s="38" t="s">
        <v>144</v>
      </c>
      <c r="E41" s="41" t="s">
        <v>111</v>
      </c>
      <c r="F41" s="41"/>
      <c r="G41" s="41"/>
      <c r="H41" s="41"/>
    </row>
    <row r="42" spans="2:8" ht="28.5">
      <c r="B42" s="13">
        <v>31</v>
      </c>
      <c r="C42" s="38" t="s">
        <v>145</v>
      </c>
      <c r="E42" s="41" t="s">
        <v>111</v>
      </c>
      <c r="F42" s="41"/>
      <c r="G42" s="41"/>
      <c r="H42" s="41"/>
    </row>
    <row r="43" spans="2:8" ht="15">
      <c r="B43" s="16">
        <v>32</v>
      </c>
      <c r="C43" s="38" t="s">
        <v>146</v>
      </c>
      <c r="E43" s="41" t="s">
        <v>111</v>
      </c>
      <c r="F43" s="41"/>
      <c r="G43" s="41"/>
      <c r="H43" s="41"/>
    </row>
    <row r="44" spans="2:8" ht="15"/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3"/>
  <sheetViews>
    <sheetView topLeftCell="G1" workbookViewId="0">
      <selection activeCell="L28" sqref="L28"/>
    </sheetView>
  </sheetViews>
  <sheetFormatPr defaultColWidth="11.5703125" defaultRowHeight="13.9"/>
  <cols>
    <col min="1" max="1" width="16.7109375" style="18" customWidth="1"/>
    <col min="2" max="2" width="4.28515625" style="18" bestFit="1" customWidth="1"/>
    <col min="3" max="3" width="75.28515625" style="18" bestFit="1" customWidth="1"/>
    <col min="4" max="7" width="11.5703125" style="18" customWidth="1"/>
    <col min="8" max="8" width="18.7109375" style="18" bestFit="1" customWidth="1"/>
    <col min="9" max="9" width="11.5703125" style="18" customWidth="1"/>
    <col min="10" max="10" width="23.28515625" style="18" bestFit="1" customWidth="1"/>
    <col min="11" max="11" width="27.42578125" style="18" bestFit="1" customWidth="1"/>
    <col min="12" max="13" width="28.5703125" style="18" bestFit="1" customWidth="1"/>
    <col min="14" max="16384" width="11.5703125" style="18"/>
  </cols>
  <sheetData>
    <row r="2" spans="2:13" ht="47.45" customHeight="1">
      <c r="B2" s="90" t="s">
        <v>98</v>
      </c>
      <c r="C2" s="98"/>
      <c r="D2" s="98"/>
      <c r="E2" s="98"/>
      <c r="F2" s="98"/>
      <c r="G2" s="98"/>
      <c r="H2" s="98"/>
    </row>
    <row r="3" spans="2:13">
      <c r="B3" s="19"/>
      <c r="C3" s="19"/>
    </row>
    <row r="4" spans="2:13" ht="15.6" customHeight="1">
      <c r="B4" s="20" t="s">
        <v>99</v>
      </c>
      <c r="C4" s="21" t="s">
        <v>100</v>
      </c>
    </row>
    <row r="5" spans="2:13" ht="15.6" customHeight="1">
      <c r="B5" s="20" t="s">
        <v>101</v>
      </c>
      <c r="C5" s="21" t="s">
        <v>102</v>
      </c>
    </row>
    <row r="6" spans="2:13" ht="15.6" customHeight="1">
      <c r="B6" s="20" t="s">
        <v>103</v>
      </c>
      <c r="C6" s="21" t="s">
        <v>104</v>
      </c>
    </row>
    <row r="7" spans="2:13" ht="15.6" customHeight="1">
      <c r="B7" s="88" t="s">
        <v>105</v>
      </c>
      <c r="C7" s="98"/>
    </row>
    <row r="8" spans="2:13" ht="15.6" customHeight="1">
      <c r="B8" s="22"/>
      <c r="C8" s="22"/>
    </row>
    <row r="9" spans="2:13">
      <c r="E9" s="87" t="s">
        <v>106</v>
      </c>
      <c r="F9" s="94"/>
      <c r="G9" s="95"/>
      <c r="H9" s="87" t="s">
        <v>107</v>
      </c>
    </row>
    <row r="10" spans="2:13" ht="17.45" customHeight="1">
      <c r="B10" s="89" t="s">
        <v>147</v>
      </c>
      <c r="C10" s="96"/>
      <c r="D10" s="23"/>
      <c r="E10" s="24" t="s">
        <v>99</v>
      </c>
      <c r="F10" s="25" t="s">
        <v>109</v>
      </c>
      <c r="G10" s="25" t="s">
        <v>101</v>
      </c>
      <c r="H10" s="97"/>
      <c r="I10" s="26"/>
    </row>
    <row r="11" spans="2:13">
      <c r="B11" s="27"/>
      <c r="C11" s="28"/>
      <c r="H11" s="29"/>
    </row>
    <row r="12" spans="2:13" ht="15">
      <c r="B12" s="30">
        <v>1</v>
      </c>
      <c r="C12" s="31" t="s">
        <v>148</v>
      </c>
      <c r="E12" s="32"/>
      <c r="F12" s="32" t="s">
        <v>111</v>
      </c>
      <c r="G12" s="32"/>
      <c r="H12" s="32"/>
      <c r="J12" t="s">
        <v>112</v>
      </c>
      <c r="K12" t="s">
        <v>113</v>
      </c>
      <c r="L12" t="s">
        <v>114</v>
      </c>
      <c r="M12" t="s">
        <v>115</v>
      </c>
    </row>
    <row r="13" spans="2:13" ht="15">
      <c r="B13" s="30">
        <v>2</v>
      </c>
      <c r="C13" s="31" t="s">
        <v>149</v>
      </c>
      <c r="E13" s="32" t="s">
        <v>111</v>
      </c>
      <c r="F13" s="32"/>
      <c r="G13" s="32"/>
      <c r="H13" s="32"/>
      <c r="J13">
        <f>COUNTA(B12:B35)</f>
        <v>22</v>
      </c>
      <c r="K13">
        <f>COUNTIF(E12:E35,"X")</f>
        <v>15</v>
      </c>
      <c r="L13">
        <f>COUNTIF(F12:F35,"X")</f>
        <v>5</v>
      </c>
      <c r="M13">
        <f>COUNTIF(G12:G35,"X")</f>
        <v>2</v>
      </c>
    </row>
    <row r="14" spans="2:13">
      <c r="B14" s="30">
        <v>3</v>
      </c>
      <c r="C14" s="31" t="s">
        <v>150</v>
      </c>
      <c r="E14" s="32"/>
      <c r="F14" s="32" t="s">
        <v>111</v>
      </c>
      <c r="G14" s="32"/>
      <c r="H14" s="32"/>
    </row>
    <row r="15" spans="2:13">
      <c r="B15" s="30">
        <v>4</v>
      </c>
      <c r="C15" s="31" t="s">
        <v>151</v>
      </c>
      <c r="E15" s="32" t="s">
        <v>111</v>
      </c>
      <c r="F15" s="32"/>
      <c r="G15" s="32"/>
      <c r="H15" s="32"/>
    </row>
    <row r="16" spans="2:13">
      <c r="B16" s="30">
        <v>5</v>
      </c>
      <c r="C16" s="31" t="s">
        <v>152</v>
      </c>
      <c r="E16" s="32" t="s">
        <v>111</v>
      </c>
      <c r="F16" s="32"/>
      <c r="G16" s="32"/>
      <c r="H16" s="32"/>
    </row>
    <row r="17" spans="2:8">
      <c r="B17" s="30">
        <v>6</v>
      </c>
      <c r="C17" s="31" t="s">
        <v>153</v>
      </c>
      <c r="E17" s="32"/>
      <c r="F17" s="32"/>
      <c r="G17" s="32" t="s">
        <v>111</v>
      </c>
      <c r="H17" s="32"/>
    </row>
    <row r="18" spans="2:8">
      <c r="B18" s="30">
        <v>7</v>
      </c>
      <c r="C18" s="31" t="s">
        <v>154</v>
      </c>
      <c r="E18" s="32" t="s">
        <v>111</v>
      </c>
      <c r="F18" s="32"/>
      <c r="G18" s="32"/>
      <c r="H18" s="32"/>
    </row>
    <row r="19" spans="2:8">
      <c r="B19" s="30">
        <v>8</v>
      </c>
      <c r="C19" s="31" t="s">
        <v>155</v>
      </c>
      <c r="E19" s="33"/>
      <c r="F19" s="33" t="s">
        <v>111</v>
      </c>
      <c r="G19" s="33"/>
      <c r="H19" s="33"/>
    </row>
    <row r="20" spans="2:8">
      <c r="B20" s="34">
        <v>9</v>
      </c>
      <c r="C20" s="35" t="s">
        <v>156</v>
      </c>
      <c r="E20" s="35" t="s">
        <v>111</v>
      </c>
      <c r="F20" s="35"/>
      <c r="G20" s="35"/>
      <c r="H20" s="35"/>
    </row>
    <row r="21" spans="2:8" ht="28.5" customHeight="1">
      <c r="B21" s="30">
        <v>10</v>
      </c>
      <c r="C21" s="38" t="s">
        <v>157</v>
      </c>
      <c r="E21" s="32"/>
      <c r="F21" s="32" t="s">
        <v>111</v>
      </c>
      <c r="G21" s="32"/>
      <c r="H21" s="32"/>
    </row>
    <row r="22" spans="2:8" ht="28.5" customHeight="1">
      <c r="B22" s="30">
        <v>11</v>
      </c>
      <c r="C22" s="38" t="s">
        <v>158</v>
      </c>
      <c r="E22" s="32"/>
      <c r="F22" s="32" t="s">
        <v>111</v>
      </c>
      <c r="G22" s="32"/>
      <c r="H22" s="32"/>
    </row>
    <row r="23" spans="2:8" ht="28.5" customHeight="1">
      <c r="B23" s="30">
        <v>12</v>
      </c>
      <c r="C23" s="38" t="s">
        <v>159</v>
      </c>
      <c r="E23" s="32" t="s">
        <v>111</v>
      </c>
      <c r="F23" s="32"/>
      <c r="G23" s="32"/>
      <c r="H23" s="32"/>
    </row>
    <row r="24" spans="2:8" ht="14.25" customHeight="1">
      <c r="B24" s="34">
        <v>13</v>
      </c>
      <c r="C24" s="38" t="s">
        <v>160</v>
      </c>
      <c r="E24" s="32" t="s">
        <v>111</v>
      </c>
      <c r="F24" s="32"/>
      <c r="G24" s="32"/>
      <c r="H24" s="32"/>
    </row>
    <row r="25" spans="2:8" ht="28.5" customHeight="1">
      <c r="B25" s="30">
        <v>14</v>
      </c>
      <c r="C25" s="38" t="s">
        <v>161</v>
      </c>
      <c r="E25" s="32" t="s">
        <v>111</v>
      </c>
      <c r="F25" s="32"/>
      <c r="G25" s="32"/>
      <c r="H25" s="32"/>
    </row>
    <row r="26" spans="2:8" ht="14.25" customHeight="1">
      <c r="B26" s="30">
        <v>15</v>
      </c>
      <c r="C26" s="38" t="s">
        <v>162</v>
      </c>
      <c r="E26" s="32"/>
      <c r="F26" s="32"/>
      <c r="G26" s="32" t="s">
        <v>111</v>
      </c>
      <c r="H26" s="32"/>
    </row>
    <row r="27" spans="2:8" ht="28.5" customHeight="1">
      <c r="B27" s="30">
        <v>16</v>
      </c>
      <c r="C27" s="38" t="s">
        <v>163</v>
      </c>
      <c r="E27" s="32" t="s">
        <v>111</v>
      </c>
      <c r="F27" s="32"/>
      <c r="G27" s="32"/>
      <c r="H27" s="32"/>
    </row>
    <row r="28" spans="2:8" ht="28.5" customHeight="1">
      <c r="B28" s="34">
        <v>17</v>
      </c>
      <c r="C28" s="55" t="s">
        <v>164</v>
      </c>
      <c r="E28" s="33" t="s">
        <v>111</v>
      </c>
      <c r="F28" s="33"/>
      <c r="G28" s="33"/>
      <c r="H28" s="33"/>
    </row>
    <row r="29" spans="2:8" s="56" customFormat="1" ht="28.5">
      <c r="B29" s="30">
        <v>18</v>
      </c>
      <c r="C29" s="38" t="s">
        <v>165</v>
      </c>
      <c r="E29" s="57" t="s">
        <v>111</v>
      </c>
      <c r="F29" s="57"/>
      <c r="G29" s="57"/>
      <c r="H29" s="57"/>
    </row>
    <row r="30" spans="2:8" s="56" customFormat="1" ht="28.5">
      <c r="B30" s="30">
        <v>19</v>
      </c>
      <c r="C30" s="38" t="s">
        <v>166</v>
      </c>
      <c r="E30" s="57" t="s">
        <v>111</v>
      </c>
      <c r="F30" s="57"/>
      <c r="G30" s="57"/>
      <c r="H30" s="57"/>
    </row>
    <row r="31" spans="2:8" s="56" customFormat="1" ht="14.25">
      <c r="B31" s="30">
        <v>20</v>
      </c>
      <c r="C31" s="38" t="s">
        <v>167</v>
      </c>
      <c r="E31" s="57" t="s">
        <v>111</v>
      </c>
      <c r="F31" s="57"/>
      <c r="G31" s="57"/>
      <c r="H31" s="57"/>
    </row>
    <row r="32" spans="2:8" s="56" customFormat="1" ht="28.5">
      <c r="B32" s="34">
        <v>21</v>
      </c>
      <c r="C32" s="38" t="s">
        <v>168</v>
      </c>
      <c r="E32" s="57" t="s">
        <v>111</v>
      </c>
      <c r="F32" s="57"/>
      <c r="G32" s="57"/>
      <c r="H32" s="57"/>
    </row>
    <row r="33" spans="2:8" s="56" customFormat="1" ht="28.5">
      <c r="B33" s="30">
        <v>22</v>
      </c>
      <c r="C33" s="38" t="s">
        <v>169</v>
      </c>
      <c r="E33" s="57" t="s">
        <v>111</v>
      </c>
      <c r="F33" s="57"/>
      <c r="G33" s="57"/>
      <c r="H33" s="57"/>
    </row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47"/>
  <sheetViews>
    <sheetView workbookViewId="0">
      <selection activeCell="J12" sqref="J12:M13"/>
    </sheetView>
  </sheetViews>
  <sheetFormatPr defaultColWidth="11.5703125" defaultRowHeight="13.9"/>
  <cols>
    <col min="1" max="1" width="16.7109375" style="18" customWidth="1"/>
    <col min="2" max="2" width="4.28515625" style="18" bestFit="1" customWidth="1"/>
    <col min="3" max="3" width="75.28515625" style="18" bestFit="1" customWidth="1"/>
    <col min="4" max="7" width="11.5703125" style="18" customWidth="1"/>
    <col min="8" max="8" width="18.7109375" style="18" bestFit="1" customWidth="1"/>
    <col min="9" max="9" width="11.5703125" style="18" customWidth="1"/>
    <col min="10" max="10" width="23.28515625" style="18" bestFit="1" customWidth="1"/>
    <col min="11" max="11" width="27.42578125" style="18" bestFit="1" customWidth="1"/>
    <col min="12" max="12" width="23.85546875" style="18" bestFit="1" customWidth="1"/>
    <col min="13" max="13" width="19.85546875" style="18" bestFit="1" customWidth="1"/>
    <col min="14" max="16384" width="11.5703125" style="18"/>
  </cols>
  <sheetData>
    <row r="2" spans="2:13" ht="47.45" customHeight="1">
      <c r="B2" s="90" t="s">
        <v>98</v>
      </c>
      <c r="C2" s="98"/>
      <c r="D2" s="98"/>
      <c r="E2" s="98"/>
      <c r="F2" s="98"/>
      <c r="G2" s="98"/>
      <c r="H2" s="98"/>
    </row>
    <row r="3" spans="2:13">
      <c r="B3" s="19"/>
      <c r="C3" s="19"/>
    </row>
    <row r="4" spans="2:13" ht="15.6" customHeight="1">
      <c r="B4" s="20" t="s">
        <v>99</v>
      </c>
      <c r="C4" s="21" t="s">
        <v>100</v>
      </c>
    </row>
    <row r="5" spans="2:13" ht="15.6" customHeight="1">
      <c r="B5" s="20" t="s">
        <v>101</v>
      </c>
      <c r="C5" s="21" t="s">
        <v>102</v>
      </c>
    </row>
    <row r="6" spans="2:13" ht="15.6" customHeight="1">
      <c r="B6" s="20" t="s">
        <v>103</v>
      </c>
      <c r="C6" s="21" t="s">
        <v>104</v>
      </c>
    </row>
    <row r="7" spans="2:13" ht="15.6" customHeight="1">
      <c r="B7" s="88" t="s">
        <v>105</v>
      </c>
      <c r="C7" s="98"/>
    </row>
    <row r="8" spans="2:13" ht="15.6" customHeight="1">
      <c r="B8" s="22"/>
      <c r="C8" s="22"/>
    </row>
    <row r="9" spans="2:13">
      <c r="E9" s="87" t="s">
        <v>106</v>
      </c>
      <c r="F9" s="94"/>
      <c r="G9" s="95"/>
      <c r="H9" s="87" t="s">
        <v>107</v>
      </c>
    </row>
    <row r="10" spans="2:13" ht="17.45" customHeight="1">
      <c r="B10" s="89" t="s">
        <v>170</v>
      </c>
      <c r="C10" s="96"/>
      <c r="D10" s="23"/>
      <c r="E10" s="24" t="s">
        <v>99</v>
      </c>
      <c r="F10" s="25" t="s">
        <v>109</v>
      </c>
      <c r="G10" s="25" t="s">
        <v>101</v>
      </c>
      <c r="H10" s="97"/>
      <c r="I10" s="26"/>
    </row>
    <row r="11" spans="2:13">
      <c r="B11" s="27"/>
      <c r="C11" s="28"/>
      <c r="H11" s="29"/>
    </row>
    <row r="12" spans="2:13" ht="15">
      <c r="B12" s="30">
        <v>1</v>
      </c>
      <c r="C12" s="31" t="s">
        <v>171</v>
      </c>
      <c r="E12" s="32" t="s">
        <v>111</v>
      </c>
      <c r="F12" s="32"/>
      <c r="G12" s="32"/>
      <c r="H12" s="32"/>
      <c r="J12" t="s">
        <v>112</v>
      </c>
      <c r="K12" t="s">
        <v>113</v>
      </c>
      <c r="L12" t="s">
        <v>114</v>
      </c>
      <c r="M12" t="s">
        <v>115</v>
      </c>
    </row>
    <row r="13" spans="2:13" ht="15">
      <c r="B13" s="30">
        <v>2</v>
      </c>
      <c r="C13" s="31" t="s">
        <v>172</v>
      </c>
      <c r="E13" s="32" t="s">
        <v>111</v>
      </c>
      <c r="F13" s="32"/>
      <c r="G13" s="32"/>
      <c r="H13" s="32"/>
      <c r="J13">
        <f>COUNTA(B12:B50)</f>
        <v>35</v>
      </c>
      <c r="K13">
        <f>COUNTIF(E12:E50,"X")</f>
        <v>33</v>
      </c>
      <c r="L13">
        <f>COUNTIF(F12:F50,"X")</f>
        <v>2</v>
      </c>
      <c r="M13">
        <f>COUNTIF(G12:G50,"X")</f>
        <v>0</v>
      </c>
    </row>
    <row r="14" spans="2:13">
      <c r="B14" s="30">
        <v>3</v>
      </c>
      <c r="C14" s="31" t="s">
        <v>173</v>
      </c>
      <c r="E14" s="32" t="s">
        <v>111</v>
      </c>
      <c r="F14" s="32"/>
      <c r="G14" s="32"/>
      <c r="H14" s="32"/>
    </row>
    <row r="15" spans="2:13">
      <c r="B15" s="30">
        <v>4</v>
      </c>
      <c r="C15" s="31" t="s">
        <v>174</v>
      </c>
      <c r="E15" s="32" t="s">
        <v>111</v>
      </c>
      <c r="F15" s="32"/>
      <c r="G15" s="32"/>
      <c r="H15" s="32"/>
    </row>
    <row r="16" spans="2:13">
      <c r="B16" s="30">
        <v>5</v>
      </c>
      <c r="C16" s="31" t="s">
        <v>175</v>
      </c>
      <c r="E16" s="32" t="s">
        <v>111</v>
      </c>
      <c r="F16" s="32"/>
      <c r="G16" s="32"/>
      <c r="H16" s="32"/>
    </row>
    <row r="17" spans="2:8">
      <c r="B17" s="30">
        <v>6</v>
      </c>
      <c r="C17" s="31" t="s">
        <v>176</v>
      </c>
      <c r="E17" s="32" t="s">
        <v>111</v>
      </c>
      <c r="F17" s="32"/>
      <c r="G17" s="32"/>
      <c r="H17" s="32"/>
    </row>
    <row r="18" spans="2:8">
      <c r="B18" s="30">
        <v>7</v>
      </c>
      <c r="C18" s="31" t="s">
        <v>177</v>
      </c>
      <c r="E18" s="32" t="s">
        <v>111</v>
      </c>
      <c r="F18" s="32"/>
      <c r="G18" s="32"/>
      <c r="H18" s="32"/>
    </row>
    <row r="19" spans="2:8">
      <c r="B19" s="30">
        <v>8</v>
      </c>
      <c r="C19" s="31" t="s">
        <v>178</v>
      </c>
      <c r="E19" s="32" t="s">
        <v>111</v>
      </c>
      <c r="F19" s="32"/>
      <c r="G19" s="32"/>
      <c r="H19" s="32"/>
    </row>
    <row r="20" spans="2:8">
      <c r="B20" s="30">
        <v>9</v>
      </c>
      <c r="C20" s="31" t="s">
        <v>179</v>
      </c>
      <c r="E20" s="32" t="s">
        <v>111</v>
      </c>
      <c r="F20" s="32"/>
      <c r="G20" s="32"/>
      <c r="H20" s="32"/>
    </row>
    <row r="21" spans="2:8">
      <c r="B21" s="30">
        <v>10</v>
      </c>
      <c r="C21" s="31" t="s">
        <v>180</v>
      </c>
      <c r="E21" s="32" t="s">
        <v>111</v>
      </c>
      <c r="F21" s="32"/>
      <c r="G21" s="32"/>
      <c r="H21" s="32"/>
    </row>
    <row r="22" spans="2:8">
      <c r="B22" s="30">
        <v>11</v>
      </c>
      <c r="C22" s="31" t="s">
        <v>181</v>
      </c>
      <c r="E22" s="32" t="s">
        <v>111</v>
      </c>
      <c r="F22" s="32"/>
      <c r="G22" s="32"/>
      <c r="H22" s="32"/>
    </row>
    <row r="23" spans="2:8">
      <c r="B23" s="30">
        <v>12</v>
      </c>
      <c r="C23" s="31" t="s">
        <v>182</v>
      </c>
      <c r="E23" s="32" t="s">
        <v>111</v>
      </c>
      <c r="F23" s="32"/>
      <c r="G23" s="32"/>
      <c r="H23" s="32"/>
    </row>
    <row r="24" spans="2:8">
      <c r="B24" s="30">
        <v>13</v>
      </c>
      <c r="C24" s="31" t="s">
        <v>183</v>
      </c>
      <c r="E24" s="33" t="s">
        <v>111</v>
      </c>
      <c r="F24" s="33"/>
      <c r="G24" s="33"/>
      <c r="H24" s="33"/>
    </row>
    <row r="25" spans="2:8">
      <c r="B25" s="34">
        <v>14</v>
      </c>
      <c r="C25" s="31" t="s">
        <v>184</v>
      </c>
      <c r="E25" s="31" t="s">
        <v>111</v>
      </c>
      <c r="F25" s="31"/>
      <c r="G25" s="31"/>
      <c r="H25" s="31"/>
    </row>
    <row r="26" spans="2:8">
      <c r="B26" s="30">
        <v>15</v>
      </c>
      <c r="C26" s="35" t="s">
        <v>185</v>
      </c>
      <c r="E26" s="35" t="s">
        <v>111</v>
      </c>
      <c r="F26" s="35"/>
      <c r="G26" s="35"/>
      <c r="H26" s="35"/>
    </row>
    <row r="27" spans="2:8" ht="28.5" customHeight="1">
      <c r="B27" s="30">
        <v>16</v>
      </c>
      <c r="C27" s="38" t="s">
        <v>186</v>
      </c>
      <c r="E27" s="32" t="s">
        <v>111</v>
      </c>
      <c r="F27" s="32"/>
      <c r="G27" s="32"/>
      <c r="H27" s="32"/>
    </row>
    <row r="28" spans="2:8" ht="28.5" customHeight="1">
      <c r="B28" s="34">
        <v>17</v>
      </c>
      <c r="C28" s="38" t="s">
        <v>187</v>
      </c>
      <c r="E28" s="32" t="s">
        <v>111</v>
      </c>
      <c r="F28" s="32"/>
      <c r="G28" s="32"/>
      <c r="H28" s="32"/>
    </row>
    <row r="29" spans="2:8" ht="14.25" customHeight="1">
      <c r="B29" s="30">
        <v>18</v>
      </c>
      <c r="C29" s="38" t="s">
        <v>188</v>
      </c>
      <c r="E29" s="32" t="s">
        <v>111</v>
      </c>
      <c r="F29" s="32"/>
      <c r="G29" s="32"/>
      <c r="H29" s="32"/>
    </row>
    <row r="30" spans="2:8" ht="14.25" customHeight="1">
      <c r="B30" s="30">
        <v>19</v>
      </c>
      <c r="C30" s="38" t="s">
        <v>189</v>
      </c>
      <c r="E30" s="32" t="s">
        <v>111</v>
      </c>
      <c r="F30" s="32"/>
      <c r="G30" s="32"/>
      <c r="H30" s="32"/>
    </row>
    <row r="31" spans="2:8" ht="28.5" customHeight="1">
      <c r="B31" s="34">
        <v>20</v>
      </c>
      <c r="C31" s="38" t="s">
        <v>190</v>
      </c>
      <c r="E31" s="32" t="s">
        <v>111</v>
      </c>
      <c r="F31" s="32"/>
      <c r="G31" s="32"/>
      <c r="H31" s="32"/>
    </row>
    <row r="32" spans="2:8" ht="14.25" customHeight="1">
      <c r="B32" s="30">
        <v>21</v>
      </c>
      <c r="C32" s="38" t="s">
        <v>191</v>
      </c>
      <c r="E32" s="32"/>
      <c r="F32" s="32" t="s">
        <v>111</v>
      </c>
      <c r="G32" s="32"/>
      <c r="H32" s="32"/>
    </row>
    <row r="33" spans="2:8" ht="28.5" customHeight="1">
      <c r="B33" s="30">
        <v>22</v>
      </c>
      <c r="C33" s="38" t="s">
        <v>192</v>
      </c>
      <c r="E33" s="32"/>
      <c r="F33" s="32" t="s">
        <v>111</v>
      </c>
      <c r="G33" s="32"/>
      <c r="H33" s="32"/>
    </row>
    <row r="34" spans="2:8" ht="28.5" customHeight="1">
      <c r="B34" s="34">
        <v>23</v>
      </c>
      <c r="C34" s="38" t="s">
        <v>193</v>
      </c>
      <c r="E34" s="32" t="s">
        <v>111</v>
      </c>
      <c r="F34" s="32"/>
      <c r="G34" s="32"/>
      <c r="H34" s="32"/>
    </row>
    <row r="35" spans="2:8" ht="14.25" customHeight="1">
      <c r="B35" s="30">
        <v>24</v>
      </c>
      <c r="C35" s="38" t="s">
        <v>194</v>
      </c>
      <c r="E35" s="32" t="s">
        <v>111</v>
      </c>
      <c r="F35" s="32"/>
      <c r="G35" s="32"/>
      <c r="H35" s="32"/>
    </row>
    <row r="36" spans="2:8" ht="14.25" customHeight="1">
      <c r="B36" s="30">
        <v>25</v>
      </c>
      <c r="C36" s="38" t="s">
        <v>195</v>
      </c>
      <c r="E36" s="32" t="s">
        <v>111</v>
      </c>
      <c r="F36" s="32"/>
      <c r="G36" s="32"/>
      <c r="H36" s="32"/>
    </row>
    <row r="37" spans="2:8" ht="14.25" customHeight="1">
      <c r="B37" s="30">
        <v>26</v>
      </c>
      <c r="C37" s="38" t="s">
        <v>196</v>
      </c>
      <c r="E37" s="32" t="s">
        <v>111</v>
      </c>
      <c r="F37" s="32"/>
      <c r="G37" s="32"/>
      <c r="H37" s="32" t="s">
        <v>197</v>
      </c>
    </row>
    <row r="38" spans="2:8" ht="14.25" customHeight="1">
      <c r="B38" s="30">
        <v>27</v>
      </c>
      <c r="C38" s="38" t="s">
        <v>198</v>
      </c>
      <c r="E38" s="32" t="s">
        <v>111</v>
      </c>
      <c r="F38" s="32"/>
      <c r="G38" s="32"/>
      <c r="H38" s="32" t="s">
        <v>199</v>
      </c>
    </row>
    <row r="39" spans="2:8" ht="14.25" customHeight="1">
      <c r="B39" s="30">
        <v>28</v>
      </c>
      <c r="C39" s="55" t="s">
        <v>200</v>
      </c>
      <c r="E39" s="33" t="s">
        <v>111</v>
      </c>
      <c r="F39" s="33"/>
      <c r="G39" s="33"/>
      <c r="H39" s="33" t="s">
        <v>201</v>
      </c>
    </row>
    <row r="40" spans="2:8" ht="28.5">
      <c r="B40" s="30">
        <v>29</v>
      </c>
      <c r="C40" s="38" t="s">
        <v>202</v>
      </c>
      <c r="E40" s="32" t="s">
        <v>111</v>
      </c>
      <c r="F40" s="32"/>
      <c r="G40" s="32"/>
      <c r="H40" s="32"/>
    </row>
    <row r="41" spans="2:8" ht="14.25">
      <c r="B41" s="30">
        <v>30</v>
      </c>
      <c r="C41" s="38" t="s">
        <v>203</v>
      </c>
      <c r="E41" s="32" t="s">
        <v>111</v>
      </c>
      <c r="F41" s="32"/>
      <c r="G41" s="32"/>
      <c r="H41" s="32"/>
    </row>
    <row r="42" spans="2:8" ht="14.25">
      <c r="B42" s="30">
        <v>31</v>
      </c>
      <c r="C42" s="38" t="s">
        <v>204</v>
      </c>
      <c r="E42" s="32" t="s">
        <v>111</v>
      </c>
      <c r="F42" s="32"/>
      <c r="G42" s="32"/>
      <c r="H42" s="32"/>
    </row>
    <row r="43" spans="2:8" ht="14.25">
      <c r="B43" s="30">
        <v>32</v>
      </c>
      <c r="C43" s="38" t="s">
        <v>205</v>
      </c>
      <c r="E43" s="32" t="s">
        <v>111</v>
      </c>
      <c r="F43" s="32"/>
      <c r="G43" s="32"/>
      <c r="H43" s="32"/>
    </row>
    <row r="44" spans="2:8" ht="28.5">
      <c r="B44" s="30">
        <v>33</v>
      </c>
      <c r="C44" s="38" t="s">
        <v>206</v>
      </c>
      <c r="E44" s="32" t="s">
        <v>111</v>
      </c>
      <c r="F44" s="32"/>
      <c r="G44" s="32"/>
      <c r="H44" s="32"/>
    </row>
    <row r="45" spans="2:8" ht="14.25">
      <c r="B45" s="30">
        <v>34</v>
      </c>
      <c r="C45" s="38" t="s">
        <v>207</v>
      </c>
      <c r="E45" s="32" t="s">
        <v>111</v>
      </c>
      <c r="F45" s="32"/>
      <c r="G45" s="32"/>
      <c r="H45" s="32"/>
    </row>
    <row r="46" spans="2:8" ht="14.25">
      <c r="B46" s="30">
        <v>35</v>
      </c>
      <c r="C46" s="38" t="s">
        <v>208</v>
      </c>
      <c r="E46" s="32" t="s">
        <v>111</v>
      </c>
      <c r="F46" s="32"/>
      <c r="G46" s="32"/>
      <c r="H46" s="32"/>
    </row>
    <row r="47" spans="2:8" ht="14.25" customHeight="1"/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36"/>
  <sheetViews>
    <sheetView workbookViewId="0">
      <selection activeCell="M13" sqref="M13"/>
    </sheetView>
  </sheetViews>
  <sheetFormatPr defaultColWidth="11.5703125" defaultRowHeight="13.9"/>
  <cols>
    <col min="1" max="1" width="16.7109375" style="18" customWidth="1"/>
    <col min="2" max="2" width="4.28515625" style="18" bestFit="1" customWidth="1"/>
    <col min="3" max="3" width="75.28515625" style="18" bestFit="1" customWidth="1"/>
    <col min="4" max="7" width="11.5703125" style="18" customWidth="1"/>
    <col min="8" max="8" width="18.7109375" style="18" bestFit="1" customWidth="1"/>
    <col min="9" max="9" width="11.5703125" style="18" customWidth="1"/>
    <col min="10" max="10" width="23.28515625" style="18" bestFit="1" customWidth="1"/>
    <col min="11" max="11" width="27.42578125" style="18" bestFit="1" customWidth="1"/>
    <col min="12" max="12" width="23.85546875" style="18" bestFit="1" customWidth="1"/>
    <col min="13" max="13" width="19.85546875" style="18" bestFit="1" customWidth="1"/>
    <col min="14" max="16384" width="11.5703125" style="18"/>
  </cols>
  <sheetData>
    <row r="2" spans="2:13" ht="47.45" customHeight="1">
      <c r="B2" s="90" t="s">
        <v>98</v>
      </c>
      <c r="C2" s="98"/>
      <c r="D2" s="98"/>
      <c r="E2" s="98"/>
      <c r="F2" s="98"/>
      <c r="G2" s="98"/>
      <c r="H2" s="98"/>
    </row>
    <row r="3" spans="2:13">
      <c r="B3" s="19"/>
      <c r="C3" s="19"/>
    </row>
    <row r="4" spans="2:13" ht="15.6" customHeight="1">
      <c r="B4" s="20" t="s">
        <v>99</v>
      </c>
      <c r="C4" s="21" t="s">
        <v>100</v>
      </c>
    </row>
    <row r="5" spans="2:13" ht="15.6" customHeight="1">
      <c r="B5" s="20" t="s">
        <v>101</v>
      </c>
      <c r="C5" s="21" t="s">
        <v>102</v>
      </c>
    </row>
    <row r="6" spans="2:13" ht="15.6" customHeight="1">
      <c r="B6" s="20" t="s">
        <v>103</v>
      </c>
      <c r="C6" s="21" t="s">
        <v>104</v>
      </c>
    </row>
    <row r="7" spans="2:13" ht="15.6" customHeight="1">
      <c r="B7" s="88" t="s">
        <v>105</v>
      </c>
      <c r="C7" s="98"/>
    </row>
    <row r="8" spans="2:13" ht="15.6" customHeight="1">
      <c r="B8" s="22"/>
      <c r="C8" s="22"/>
    </row>
    <row r="9" spans="2:13">
      <c r="E9" s="87" t="s">
        <v>106</v>
      </c>
      <c r="F9" s="94"/>
      <c r="G9" s="95"/>
      <c r="H9" s="87" t="s">
        <v>107</v>
      </c>
    </row>
    <row r="10" spans="2:13" ht="17.45" customHeight="1">
      <c r="B10" s="89" t="s">
        <v>209</v>
      </c>
      <c r="C10" s="96"/>
      <c r="D10" s="23"/>
      <c r="E10" s="24" t="s">
        <v>99</v>
      </c>
      <c r="F10" s="25" t="s">
        <v>109</v>
      </c>
      <c r="G10" s="25" t="s">
        <v>101</v>
      </c>
      <c r="H10" s="97"/>
      <c r="I10" s="26"/>
    </row>
    <row r="11" spans="2:13">
      <c r="B11" s="27"/>
      <c r="C11" s="28"/>
      <c r="H11" s="29"/>
    </row>
    <row r="12" spans="2:13" ht="15">
      <c r="B12" s="30">
        <v>1</v>
      </c>
      <c r="C12" s="31" t="s">
        <v>210</v>
      </c>
      <c r="E12" s="32" t="s">
        <v>111</v>
      </c>
      <c r="F12" s="32"/>
      <c r="G12" s="32"/>
      <c r="H12" s="32"/>
      <c r="J12" t="s">
        <v>112</v>
      </c>
      <c r="K12" t="s">
        <v>113</v>
      </c>
      <c r="L12" t="s">
        <v>114</v>
      </c>
      <c r="M12" t="s">
        <v>115</v>
      </c>
    </row>
    <row r="13" spans="2:13" ht="15">
      <c r="B13" s="30">
        <v>2</v>
      </c>
      <c r="C13" s="31" t="s">
        <v>211</v>
      </c>
      <c r="E13" s="32"/>
      <c r="F13" s="32" t="s">
        <v>111</v>
      </c>
      <c r="G13" s="32"/>
      <c r="H13" s="32"/>
      <c r="J13">
        <f>COUNTA(B12:B50)</f>
        <v>25</v>
      </c>
      <c r="K13">
        <f>COUNTIF(E12:E50,"X")</f>
        <v>17</v>
      </c>
      <c r="L13">
        <f>COUNTIF(F12:F50,"X")</f>
        <v>7</v>
      </c>
      <c r="M13">
        <f>COUNTIF(G12:G50,"X")</f>
        <v>1</v>
      </c>
    </row>
    <row r="14" spans="2:13">
      <c r="B14" s="30">
        <v>3</v>
      </c>
      <c r="C14" s="31" t="s">
        <v>212</v>
      </c>
      <c r="E14" s="32"/>
      <c r="F14" s="32"/>
      <c r="G14" s="32" t="s">
        <v>111</v>
      </c>
      <c r="H14" s="32"/>
    </row>
    <row r="15" spans="2:13">
      <c r="B15" s="30">
        <v>4</v>
      </c>
      <c r="C15" s="31" t="s">
        <v>213</v>
      </c>
      <c r="E15" s="32" t="s">
        <v>111</v>
      </c>
      <c r="F15" s="32"/>
      <c r="G15" s="32"/>
      <c r="H15" s="32"/>
    </row>
    <row r="16" spans="2:13">
      <c r="B16" s="30">
        <v>5</v>
      </c>
      <c r="C16" s="31" t="s">
        <v>214</v>
      </c>
      <c r="E16" s="32"/>
      <c r="F16" s="32" t="s">
        <v>111</v>
      </c>
      <c r="G16" s="32"/>
      <c r="H16" s="32"/>
    </row>
    <row r="17" spans="2:8">
      <c r="B17" s="30">
        <v>6</v>
      </c>
      <c r="C17" s="31" t="s">
        <v>215</v>
      </c>
      <c r="E17" s="32"/>
      <c r="F17" s="32" t="s">
        <v>111</v>
      </c>
      <c r="G17" s="32"/>
      <c r="H17" s="32"/>
    </row>
    <row r="18" spans="2:8">
      <c r="B18" s="30">
        <v>7</v>
      </c>
      <c r="C18" s="31" t="s">
        <v>216</v>
      </c>
      <c r="E18" s="33" t="s">
        <v>111</v>
      </c>
      <c r="F18" s="33"/>
      <c r="G18" s="33"/>
      <c r="H18" s="33"/>
    </row>
    <row r="19" spans="2:8" ht="14.25">
      <c r="B19" s="34">
        <v>8</v>
      </c>
      <c r="C19" s="35" t="s">
        <v>217</v>
      </c>
      <c r="E19" s="35" t="s">
        <v>111</v>
      </c>
      <c r="F19" s="35"/>
      <c r="G19" s="35"/>
      <c r="H19" s="35"/>
    </row>
    <row r="20" spans="2:8" ht="28.5">
      <c r="B20" s="30">
        <v>9</v>
      </c>
      <c r="C20" s="38" t="s">
        <v>218</v>
      </c>
      <c r="E20" s="32"/>
      <c r="F20" s="32" t="s">
        <v>111</v>
      </c>
      <c r="G20" s="32"/>
      <c r="H20" s="32"/>
    </row>
    <row r="21" spans="2:8" ht="28.5">
      <c r="B21" s="30">
        <v>10</v>
      </c>
      <c r="C21" s="38" t="s">
        <v>219</v>
      </c>
      <c r="E21" s="32"/>
      <c r="F21" s="32" t="s">
        <v>111</v>
      </c>
      <c r="G21" s="32"/>
      <c r="H21" s="32"/>
    </row>
    <row r="22" spans="2:8" ht="14.25">
      <c r="B22" s="30">
        <v>11</v>
      </c>
      <c r="C22" s="38" t="s">
        <v>220</v>
      </c>
      <c r="E22" s="32" t="s">
        <v>111</v>
      </c>
      <c r="F22" s="32"/>
      <c r="G22" s="32"/>
      <c r="H22" s="32"/>
    </row>
    <row r="23" spans="2:8" ht="28.5">
      <c r="B23" s="34">
        <v>12</v>
      </c>
      <c r="C23" s="38" t="s">
        <v>221</v>
      </c>
      <c r="E23" s="32"/>
      <c r="F23" s="32" t="s">
        <v>111</v>
      </c>
      <c r="G23" s="32"/>
      <c r="H23" s="32"/>
    </row>
    <row r="24" spans="2:8" ht="14.25">
      <c r="B24" s="30">
        <v>13</v>
      </c>
      <c r="C24" s="38" t="s">
        <v>222</v>
      </c>
      <c r="E24" s="32" t="s">
        <v>111</v>
      </c>
      <c r="F24" s="32"/>
      <c r="G24" s="32"/>
      <c r="H24" s="32"/>
    </row>
    <row r="25" spans="2:8" ht="28.5">
      <c r="B25" s="30">
        <v>14</v>
      </c>
      <c r="C25" s="38" t="s">
        <v>223</v>
      </c>
      <c r="E25" s="32" t="s">
        <v>111</v>
      </c>
      <c r="F25" s="32"/>
      <c r="G25" s="32"/>
      <c r="H25" s="32"/>
    </row>
    <row r="26" spans="2:8" ht="14.25">
      <c r="B26" s="30">
        <v>15</v>
      </c>
      <c r="C26" s="38" t="s">
        <v>224</v>
      </c>
      <c r="E26" s="32" t="s">
        <v>111</v>
      </c>
      <c r="F26" s="32"/>
      <c r="G26" s="32"/>
      <c r="H26" s="32"/>
    </row>
    <row r="27" spans="2:8" ht="14.25">
      <c r="B27" s="34">
        <v>16</v>
      </c>
      <c r="C27" s="38" t="s">
        <v>225</v>
      </c>
      <c r="E27" s="32"/>
      <c r="F27" s="32" t="s">
        <v>111</v>
      </c>
      <c r="G27" s="32"/>
      <c r="H27" s="32"/>
    </row>
    <row r="28" spans="2:8" ht="28.5">
      <c r="B28" s="34">
        <v>17</v>
      </c>
      <c r="C28" s="38" t="s">
        <v>226</v>
      </c>
      <c r="E28" s="32" t="s">
        <v>111</v>
      </c>
      <c r="F28" s="32"/>
      <c r="G28" s="32"/>
      <c r="H28" s="32" t="s">
        <v>227</v>
      </c>
    </row>
    <row r="29" spans="2:8" ht="28.5">
      <c r="B29" s="34">
        <v>18</v>
      </c>
      <c r="C29" s="38" t="s">
        <v>228</v>
      </c>
      <c r="E29" s="32" t="s">
        <v>111</v>
      </c>
      <c r="F29" s="32"/>
      <c r="G29" s="32"/>
      <c r="H29" s="32" t="s">
        <v>229</v>
      </c>
    </row>
    <row r="30" spans="2:8" ht="28.5">
      <c r="B30" s="34">
        <v>19</v>
      </c>
      <c r="C30" s="38" t="s">
        <v>230</v>
      </c>
      <c r="E30" s="32" t="s">
        <v>111</v>
      </c>
      <c r="F30" s="32"/>
      <c r="G30" s="32"/>
      <c r="H30" s="32" t="s">
        <v>231</v>
      </c>
    </row>
    <row r="31" spans="2:8" ht="28.5">
      <c r="B31" s="34">
        <v>20</v>
      </c>
      <c r="C31" s="38" t="s">
        <v>232</v>
      </c>
      <c r="E31" s="32" t="s">
        <v>111</v>
      </c>
      <c r="F31" s="32"/>
      <c r="G31" s="32"/>
      <c r="H31" s="32" t="s">
        <v>233</v>
      </c>
    </row>
    <row r="32" spans="2:8" ht="28.5">
      <c r="B32" s="34">
        <v>21</v>
      </c>
      <c r="C32" s="38" t="s">
        <v>234</v>
      </c>
      <c r="E32" s="32" t="s">
        <v>111</v>
      </c>
      <c r="F32" s="32"/>
      <c r="G32" s="32"/>
      <c r="H32" s="32" t="s">
        <v>235</v>
      </c>
    </row>
    <row r="33" spans="2:8" ht="28.5">
      <c r="B33" s="34">
        <v>22</v>
      </c>
      <c r="C33" s="38" t="s">
        <v>236</v>
      </c>
      <c r="E33" s="32" t="s">
        <v>111</v>
      </c>
      <c r="F33" s="32"/>
      <c r="G33" s="32"/>
      <c r="H33" s="32" t="s">
        <v>237</v>
      </c>
    </row>
    <row r="34" spans="2:8" ht="28.5">
      <c r="B34" s="34">
        <v>23</v>
      </c>
      <c r="C34" s="55" t="s">
        <v>238</v>
      </c>
      <c r="E34" s="33" t="s">
        <v>111</v>
      </c>
      <c r="F34" s="33"/>
      <c r="G34" s="33"/>
      <c r="H34" s="33" t="s">
        <v>239</v>
      </c>
    </row>
    <row r="35" spans="2:8" ht="14.25">
      <c r="B35" s="34">
        <v>24</v>
      </c>
      <c r="C35" s="38" t="s">
        <v>240</v>
      </c>
      <c r="E35" s="32" t="s">
        <v>111</v>
      </c>
      <c r="F35" s="32"/>
      <c r="G35" s="32"/>
      <c r="H35" s="32"/>
    </row>
    <row r="36" spans="2:8" ht="28.5">
      <c r="B36" s="34">
        <v>25</v>
      </c>
      <c r="C36" s="38" t="s">
        <v>241</v>
      </c>
      <c r="E36" s="32" t="s">
        <v>111</v>
      </c>
      <c r="F36" s="32"/>
      <c r="G36" s="32"/>
      <c r="H36" s="32"/>
    </row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41"/>
  <sheetViews>
    <sheetView workbookViewId="0">
      <selection activeCell="J12" sqref="J12"/>
    </sheetView>
  </sheetViews>
  <sheetFormatPr defaultColWidth="11.5703125" defaultRowHeight="13.9"/>
  <cols>
    <col min="1" max="1" width="16.7109375" style="18" customWidth="1"/>
    <col min="2" max="2" width="4.28515625" style="18" bestFit="1" customWidth="1"/>
    <col min="3" max="3" width="75.28515625" style="18" bestFit="1" customWidth="1"/>
    <col min="4" max="7" width="11.5703125" style="18" customWidth="1"/>
    <col min="8" max="8" width="18.7109375" style="18" bestFit="1" customWidth="1"/>
    <col min="9" max="9" width="11.5703125" style="18" customWidth="1"/>
    <col min="10" max="10" width="23.28515625" style="18" bestFit="1" customWidth="1"/>
    <col min="11" max="11" width="27.42578125" style="18" bestFit="1" customWidth="1"/>
    <col min="12" max="12" width="23.85546875" style="18" bestFit="1" customWidth="1"/>
    <col min="13" max="13" width="19.85546875" style="18" bestFit="1" customWidth="1"/>
    <col min="14" max="16384" width="11.5703125" style="18"/>
  </cols>
  <sheetData>
    <row r="2" spans="2:13" ht="47.45" customHeight="1">
      <c r="B2" s="90" t="s">
        <v>98</v>
      </c>
      <c r="C2" s="98"/>
      <c r="D2" s="98"/>
      <c r="E2" s="98"/>
      <c r="F2" s="98"/>
      <c r="G2" s="98"/>
      <c r="H2" s="98"/>
    </row>
    <row r="3" spans="2:13">
      <c r="B3" s="19"/>
      <c r="C3" s="19"/>
    </row>
    <row r="4" spans="2:13" ht="15.6" customHeight="1">
      <c r="B4" s="20" t="s">
        <v>99</v>
      </c>
      <c r="C4" s="21" t="s">
        <v>100</v>
      </c>
    </row>
    <row r="5" spans="2:13" ht="15.6" customHeight="1">
      <c r="B5" s="20" t="s">
        <v>101</v>
      </c>
      <c r="C5" s="21" t="s">
        <v>102</v>
      </c>
    </row>
    <row r="6" spans="2:13" ht="15.6" customHeight="1">
      <c r="B6" s="20" t="s">
        <v>103</v>
      </c>
      <c r="C6" s="21" t="s">
        <v>104</v>
      </c>
    </row>
    <row r="7" spans="2:13" ht="15.6" customHeight="1">
      <c r="B7" s="88" t="s">
        <v>105</v>
      </c>
      <c r="C7" s="98"/>
    </row>
    <row r="8" spans="2:13" ht="15.6" customHeight="1">
      <c r="B8" s="22"/>
      <c r="C8" s="22"/>
    </row>
    <row r="9" spans="2:13">
      <c r="E9" s="87" t="s">
        <v>106</v>
      </c>
      <c r="F9" s="94"/>
      <c r="G9" s="95"/>
      <c r="H9" s="87" t="s">
        <v>107</v>
      </c>
    </row>
    <row r="10" spans="2:13" ht="17.45" customHeight="1">
      <c r="B10" s="89" t="s">
        <v>242</v>
      </c>
      <c r="C10" s="96"/>
      <c r="D10" s="23"/>
      <c r="E10" s="24" t="s">
        <v>99</v>
      </c>
      <c r="F10" s="25" t="s">
        <v>109</v>
      </c>
      <c r="G10" s="25" t="s">
        <v>101</v>
      </c>
      <c r="H10" s="97"/>
      <c r="I10" s="26"/>
    </row>
    <row r="11" spans="2:13">
      <c r="B11" s="27"/>
      <c r="C11" s="28"/>
      <c r="H11" s="29"/>
    </row>
    <row r="12" spans="2:13" ht="15">
      <c r="B12" s="30">
        <v>1</v>
      </c>
      <c r="C12" s="31" t="s">
        <v>243</v>
      </c>
      <c r="E12" s="32" t="s">
        <v>111</v>
      </c>
      <c r="F12" s="32"/>
      <c r="G12" s="32"/>
      <c r="H12" s="32"/>
      <c r="J12" t="s">
        <v>112</v>
      </c>
      <c r="K12" t="s">
        <v>113</v>
      </c>
      <c r="L12" t="s">
        <v>114</v>
      </c>
      <c r="M12" t="s">
        <v>115</v>
      </c>
    </row>
    <row r="13" spans="2:13" ht="15">
      <c r="B13" s="30">
        <v>2</v>
      </c>
      <c r="C13" s="31" t="s">
        <v>244</v>
      </c>
      <c r="E13" s="32" t="s">
        <v>111</v>
      </c>
      <c r="F13" s="32"/>
      <c r="G13" s="32"/>
      <c r="H13" s="32"/>
      <c r="J13">
        <f>COUNTA(B12:B50)</f>
        <v>25</v>
      </c>
      <c r="K13">
        <f>COUNTIF(E12:E50,"X")</f>
        <v>24</v>
      </c>
      <c r="L13">
        <f>COUNTIF(F12:F50,"X")</f>
        <v>1</v>
      </c>
      <c r="M13">
        <f>COUNTIF(G12:G50,"X")</f>
        <v>0</v>
      </c>
    </row>
    <row r="14" spans="2:13">
      <c r="B14" s="30">
        <v>3</v>
      </c>
      <c r="C14" s="31" t="s">
        <v>245</v>
      </c>
      <c r="E14" s="32" t="s">
        <v>111</v>
      </c>
      <c r="F14" s="32"/>
      <c r="G14" s="32"/>
      <c r="H14" s="32"/>
    </row>
    <row r="15" spans="2:13">
      <c r="B15" s="30">
        <v>4</v>
      </c>
      <c r="C15" s="31" t="s">
        <v>246</v>
      </c>
      <c r="E15" s="32" t="s">
        <v>111</v>
      </c>
      <c r="F15" s="32"/>
      <c r="G15" s="32"/>
      <c r="H15" s="32"/>
    </row>
    <row r="16" spans="2:13">
      <c r="B16" s="30">
        <v>5</v>
      </c>
      <c r="C16" s="31" t="s">
        <v>247</v>
      </c>
      <c r="E16" s="32" t="s">
        <v>111</v>
      </c>
      <c r="F16" s="32"/>
      <c r="G16" s="32"/>
      <c r="H16" s="32"/>
    </row>
    <row r="17" spans="2:8">
      <c r="B17" s="30">
        <v>6</v>
      </c>
      <c r="C17" s="31" t="s">
        <v>248</v>
      </c>
      <c r="E17" s="32" t="s">
        <v>111</v>
      </c>
      <c r="F17" s="32"/>
      <c r="G17" s="32"/>
      <c r="H17" s="32"/>
    </row>
    <row r="18" spans="2:8">
      <c r="B18" s="30">
        <v>7</v>
      </c>
      <c r="C18" s="31" t="s">
        <v>249</v>
      </c>
      <c r="E18" s="32" t="s">
        <v>111</v>
      </c>
      <c r="F18" s="32"/>
      <c r="G18" s="32"/>
      <c r="H18" s="32"/>
    </row>
    <row r="19" spans="2:8">
      <c r="B19" s="30">
        <v>8</v>
      </c>
      <c r="C19" s="31" t="s">
        <v>250</v>
      </c>
      <c r="E19" s="32" t="s">
        <v>111</v>
      </c>
      <c r="F19" s="32"/>
      <c r="G19" s="32"/>
      <c r="H19" s="32"/>
    </row>
    <row r="20" spans="2:8">
      <c r="B20" s="30">
        <v>9</v>
      </c>
      <c r="C20" s="31" t="s">
        <v>251</v>
      </c>
      <c r="E20" s="32" t="s">
        <v>111</v>
      </c>
      <c r="F20" s="32"/>
      <c r="G20" s="32"/>
      <c r="H20" s="32"/>
    </row>
    <row r="21" spans="2:8">
      <c r="B21" s="30">
        <v>10</v>
      </c>
      <c r="C21" s="31" t="s">
        <v>252</v>
      </c>
      <c r="E21" s="32" t="s">
        <v>111</v>
      </c>
      <c r="F21" s="32"/>
      <c r="G21" s="32"/>
      <c r="H21" s="32"/>
    </row>
    <row r="22" spans="2:8">
      <c r="B22" s="30">
        <v>11</v>
      </c>
      <c r="C22" s="31" t="s">
        <v>253</v>
      </c>
      <c r="E22" s="32" t="s">
        <v>111</v>
      </c>
      <c r="F22" s="32"/>
      <c r="G22" s="32"/>
      <c r="H22" s="32"/>
    </row>
    <row r="23" spans="2:8">
      <c r="B23" s="34">
        <v>12</v>
      </c>
      <c r="C23" s="35" t="s">
        <v>254</v>
      </c>
      <c r="E23" s="33" t="s">
        <v>111</v>
      </c>
      <c r="F23" s="33"/>
      <c r="G23" s="33"/>
      <c r="H23" s="33"/>
    </row>
    <row r="24" spans="2:8">
      <c r="B24" s="36">
        <v>13</v>
      </c>
      <c r="C24" s="35" t="s">
        <v>255</v>
      </c>
      <c r="E24" s="35" t="s">
        <v>111</v>
      </c>
      <c r="F24" s="35"/>
      <c r="G24" s="35"/>
      <c r="H24" s="35"/>
    </row>
    <row r="25" spans="2:8" ht="28.5" customHeight="1">
      <c r="B25" s="30">
        <v>14</v>
      </c>
      <c r="C25" s="38" t="s">
        <v>256</v>
      </c>
      <c r="E25" s="32" t="s">
        <v>111</v>
      </c>
      <c r="F25" s="32"/>
      <c r="G25" s="32"/>
      <c r="H25" s="32"/>
    </row>
    <row r="26" spans="2:8" ht="28.5" customHeight="1">
      <c r="B26" s="34">
        <v>15</v>
      </c>
      <c r="C26" s="38" t="s">
        <v>257</v>
      </c>
      <c r="E26" s="32" t="s">
        <v>111</v>
      </c>
      <c r="F26" s="32"/>
      <c r="G26" s="32"/>
      <c r="H26" s="32"/>
    </row>
    <row r="27" spans="2:8" ht="28.5" customHeight="1">
      <c r="B27" s="43">
        <v>16</v>
      </c>
      <c r="C27" s="38" t="s">
        <v>258</v>
      </c>
      <c r="E27" s="32" t="s">
        <v>111</v>
      </c>
      <c r="F27" s="32"/>
      <c r="G27" s="32"/>
      <c r="H27" s="32"/>
    </row>
    <row r="28" spans="2:8" ht="28.5" customHeight="1">
      <c r="B28" s="30">
        <v>17</v>
      </c>
      <c r="C28" s="38" t="s">
        <v>259</v>
      </c>
      <c r="E28" s="32"/>
      <c r="F28" s="32" t="s">
        <v>111</v>
      </c>
      <c r="G28" s="32"/>
      <c r="H28" s="32"/>
    </row>
    <row r="29" spans="2:8" ht="36.75" customHeight="1">
      <c r="B29" s="34">
        <v>18</v>
      </c>
      <c r="C29" s="38" t="s">
        <v>260</v>
      </c>
      <c r="E29" s="32" t="s">
        <v>111</v>
      </c>
      <c r="F29" s="32"/>
      <c r="G29" s="32"/>
      <c r="H29" s="32"/>
    </row>
    <row r="30" spans="2:8" ht="36.75" customHeight="1">
      <c r="B30" s="43">
        <v>19</v>
      </c>
      <c r="C30" s="38" t="s">
        <v>261</v>
      </c>
      <c r="E30" s="32" t="s">
        <v>111</v>
      </c>
      <c r="F30" s="32"/>
      <c r="G30" s="32"/>
      <c r="H30" s="32"/>
    </row>
    <row r="31" spans="2:8" ht="36.75" customHeight="1">
      <c r="B31" s="30">
        <v>20</v>
      </c>
      <c r="C31" s="38" t="s">
        <v>262</v>
      </c>
      <c r="E31" s="32" t="s">
        <v>111</v>
      </c>
      <c r="F31" s="32"/>
      <c r="G31" s="32"/>
      <c r="H31" s="32"/>
    </row>
    <row r="32" spans="2:8" ht="36.75" customHeight="1">
      <c r="B32" s="34">
        <v>21</v>
      </c>
      <c r="C32" s="55" t="s">
        <v>263</v>
      </c>
      <c r="E32" s="33" t="s">
        <v>111</v>
      </c>
      <c r="F32" s="33"/>
      <c r="G32" s="33"/>
      <c r="H32" s="33"/>
    </row>
    <row r="33" spans="2:8" ht="36.75" customHeight="1">
      <c r="B33" s="43">
        <v>22</v>
      </c>
      <c r="C33" s="38" t="s">
        <v>264</v>
      </c>
      <c r="E33" s="32" t="s">
        <v>111</v>
      </c>
      <c r="F33" s="32"/>
      <c r="G33" s="32"/>
      <c r="H33" s="32"/>
    </row>
    <row r="34" spans="2:8" ht="36.75" customHeight="1">
      <c r="B34" s="30">
        <v>23</v>
      </c>
      <c r="C34" s="38" t="s">
        <v>265</v>
      </c>
      <c r="E34" s="32" t="s">
        <v>111</v>
      </c>
      <c r="F34" s="32"/>
      <c r="G34" s="32"/>
      <c r="H34" s="32"/>
    </row>
    <row r="35" spans="2:8" ht="36.75" customHeight="1">
      <c r="B35" s="34">
        <v>24</v>
      </c>
      <c r="C35" s="38" t="s">
        <v>266</v>
      </c>
      <c r="E35" s="32" t="s">
        <v>111</v>
      </c>
      <c r="F35" s="32"/>
      <c r="G35" s="32"/>
      <c r="H35" s="32"/>
    </row>
    <row r="36" spans="2:8" ht="36.75" customHeight="1">
      <c r="B36" s="43">
        <v>25</v>
      </c>
      <c r="C36" s="38" t="s">
        <v>267</v>
      </c>
      <c r="E36" s="32" t="s">
        <v>111</v>
      </c>
      <c r="F36" s="32"/>
      <c r="G36" s="32"/>
      <c r="H36" s="32"/>
    </row>
    <row r="37" spans="2:8" ht="15" customHeight="1"/>
    <row r="38" spans="2:8" ht="14.25" customHeight="1"/>
    <row r="39" spans="2:8" ht="14.25" customHeight="1"/>
    <row r="40" spans="2:8" ht="14.25" customHeight="1"/>
    <row r="41" spans="2:8" ht="15" customHeight="1">
      <c r="C41" s="42"/>
    </row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36"/>
  <sheetViews>
    <sheetView workbookViewId="0">
      <selection activeCell="M26" sqref="M26"/>
    </sheetView>
  </sheetViews>
  <sheetFormatPr defaultColWidth="11.5703125" defaultRowHeight="13.9"/>
  <cols>
    <col min="1" max="1" width="16.7109375" style="18" customWidth="1"/>
    <col min="2" max="2" width="4.28515625" style="18" bestFit="1" customWidth="1"/>
    <col min="3" max="3" width="75.28515625" style="18" bestFit="1" customWidth="1"/>
    <col min="4" max="7" width="11.5703125" style="18" customWidth="1"/>
    <col min="8" max="8" width="18.7109375" style="18" bestFit="1" customWidth="1"/>
    <col min="9" max="9" width="11.5703125" style="18" customWidth="1"/>
    <col min="10" max="10" width="23.28515625" style="18" bestFit="1" customWidth="1"/>
    <col min="11" max="11" width="27.42578125" style="18" bestFit="1" customWidth="1"/>
    <col min="12" max="12" width="23.85546875" style="18" bestFit="1" customWidth="1"/>
    <col min="13" max="13" width="19.85546875" style="18" bestFit="1" customWidth="1"/>
    <col min="14" max="16384" width="11.5703125" style="18"/>
  </cols>
  <sheetData>
    <row r="2" spans="2:13" ht="47.45" customHeight="1">
      <c r="B2" s="90" t="s">
        <v>98</v>
      </c>
      <c r="C2" s="98"/>
      <c r="D2" s="98"/>
      <c r="E2" s="98"/>
      <c r="F2" s="98"/>
      <c r="G2" s="98"/>
      <c r="H2" s="98"/>
    </row>
    <row r="3" spans="2:13">
      <c r="B3" s="19"/>
      <c r="C3" s="19"/>
    </row>
    <row r="4" spans="2:13" ht="15.6" customHeight="1">
      <c r="B4" s="20" t="s">
        <v>99</v>
      </c>
      <c r="C4" s="21" t="s">
        <v>100</v>
      </c>
    </row>
    <row r="5" spans="2:13" ht="15.6" customHeight="1">
      <c r="B5" s="20" t="s">
        <v>101</v>
      </c>
      <c r="C5" s="21" t="s">
        <v>102</v>
      </c>
    </row>
    <row r="6" spans="2:13" ht="15.6" customHeight="1">
      <c r="B6" s="20" t="s">
        <v>103</v>
      </c>
      <c r="C6" s="21" t="s">
        <v>104</v>
      </c>
    </row>
    <row r="7" spans="2:13" ht="15.6" customHeight="1">
      <c r="B7" s="88" t="s">
        <v>105</v>
      </c>
      <c r="C7" s="98"/>
    </row>
    <row r="8" spans="2:13" ht="15.6" customHeight="1">
      <c r="B8" s="22"/>
      <c r="C8" s="22"/>
    </row>
    <row r="9" spans="2:13">
      <c r="E9" s="87" t="s">
        <v>106</v>
      </c>
      <c r="F9" s="94"/>
      <c r="G9" s="95"/>
      <c r="H9" s="87" t="s">
        <v>107</v>
      </c>
    </row>
    <row r="10" spans="2:13" ht="17.45" customHeight="1">
      <c r="B10" s="89" t="s">
        <v>268</v>
      </c>
      <c r="C10" s="96"/>
      <c r="D10" s="23"/>
      <c r="E10" s="24" t="s">
        <v>99</v>
      </c>
      <c r="F10" s="25" t="s">
        <v>109</v>
      </c>
      <c r="G10" s="25" t="s">
        <v>101</v>
      </c>
      <c r="H10" s="97"/>
      <c r="I10" s="26"/>
    </row>
    <row r="11" spans="2:13">
      <c r="B11" s="27"/>
      <c r="C11" s="28"/>
      <c r="H11" s="29"/>
    </row>
    <row r="12" spans="2:13" ht="15">
      <c r="B12" s="30">
        <v>1</v>
      </c>
      <c r="C12" s="31" t="s">
        <v>269</v>
      </c>
      <c r="E12" s="32" t="s">
        <v>111</v>
      </c>
      <c r="F12" s="32"/>
      <c r="G12" s="32"/>
      <c r="H12" s="32"/>
      <c r="J12" t="s">
        <v>112</v>
      </c>
      <c r="K12" t="s">
        <v>113</v>
      </c>
      <c r="L12" t="s">
        <v>114</v>
      </c>
      <c r="M12" t="s">
        <v>115</v>
      </c>
    </row>
    <row r="13" spans="2:13" ht="15">
      <c r="B13" s="30">
        <v>2</v>
      </c>
      <c r="C13" s="31" t="s">
        <v>270</v>
      </c>
      <c r="E13" s="32" t="s">
        <v>111</v>
      </c>
      <c r="F13" s="32"/>
      <c r="G13" s="32"/>
      <c r="H13" s="32"/>
      <c r="J13">
        <f>COUNTA(B12:B50)</f>
        <v>19</v>
      </c>
      <c r="K13">
        <f>COUNTIF(E12:E50,"X")</f>
        <v>8</v>
      </c>
      <c r="L13">
        <f>COUNTIF(F12:F50,"X")</f>
        <v>10</v>
      </c>
      <c r="M13">
        <f>COUNTIF(G12:G50,"X")</f>
        <v>1</v>
      </c>
    </row>
    <row r="14" spans="2:13">
      <c r="B14" s="30">
        <v>3</v>
      </c>
      <c r="C14" s="31" t="s">
        <v>271</v>
      </c>
      <c r="E14" s="32"/>
      <c r="F14" s="32" t="s">
        <v>111</v>
      </c>
      <c r="G14" s="32"/>
      <c r="H14" s="32"/>
    </row>
    <row r="15" spans="2:13">
      <c r="B15" s="30">
        <v>4</v>
      </c>
      <c r="C15" s="31" t="s">
        <v>272</v>
      </c>
      <c r="E15" s="32"/>
      <c r="F15" s="32" t="s">
        <v>111</v>
      </c>
      <c r="G15" s="32"/>
      <c r="H15" s="32"/>
    </row>
    <row r="16" spans="2:13">
      <c r="B16" s="30">
        <v>5</v>
      </c>
      <c r="C16" s="31" t="s">
        <v>273</v>
      </c>
      <c r="E16" s="32"/>
      <c r="F16" s="32" t="s">
        <v>111</v>
      </c>
      <c r="G16" s="32"/>
      <c r="H16" s="32"/>
    </row>
    <row r="17" spans="2:8" ht="14.25">
      <c r="B17" s="30">
        <v>6</v>
      </c>
      <c r="C17" s="31" t="s">
        <v>274</v>
      </c>
      <c r="E17" s="32"/>
      <c r="F17" s="32"/>
      <c r="G17" s="32" t="s">
        <v>111</v>
      </c>
      <c r="H17" s="32"/>
    </row>
    <row r="18" spans="2:8">
      <c r="B18" s="30">
        <v>7</v>
      </c>
      <c r="C18" s="31" t="s">
        <v>275</v>
      </c>
      <c r="E18" s="32" t="s">
        <v>111</v>
      </c>
      <c r="F18" s="32"/>
      <c r="G18" s="32"/>
      <c r="H18" s="32"/>
    </row>
    <row r="19" spans="2:8">
      <c r="B19" s="34">
        <v>8</v>
      </c>
      <c r="C19" s="35" t="s">
        <v>276</v>
      </c>
      <c r="E19" s="33"/>
      <c r="F19" s="33" t="s">
        <v>111</v>
      </c>
      <c r="G19" s="33"/>
      <c r="H19" s="33"/>
    </row>
    <row r="20" spans="2:8">
      <c r="B20" s="36">
        <v>9</v>
      </c>
      <c r="C20" s="35" t="s">
        <v>277</v>
      </c>
      <c r="E20" s="35" t="s">
        <v>111</v>
      </c>
      <c r="F20" s="35"/>
      <c r="G20" s="35"/>
      <c r="H20" s="35"/>
    </row>
    <row r="21" spans="2:8" ht="14.25" customHeight="1">
      <c r="B21" s="30">
        <v>10</v>
      </c>
      <c r="C21" s="38" t="s">
        <v>278</v>
      </c>
      <c r="E21" s="32"/>
      <c r="F21" s="32" t="s">
        <v>111</v>
      </c>
      <c r="G21" s="32"/>
      <c r="H21" s="32"/>
    </row>
    <row r="22" spans="2:8" ht="14.25" customHeight="1">
      <c r="B22" s="34">
        <v>11</v>
      </c>
      <c r="C22" s="38" t="s">
        <v>279</v>
      </c>
      <c r="E22" s="32"/>
      <c r="F22" s="32" t="s">
        <v>111</v>
      </c>
      <c r="G22" s="32"/>
      <c r="H22" s="32"/>
    </row>
    <row r="23" spans="2:8" ht="14.25" customHeight="1">
      <c r="B23" s="43">
        <v>12</v>
      </c>
      <c r="C23" s="38" t="s">
        <v>280</v>
      </c>
      <c r="E23" s="32"/>
      <c r="F23" s="32" t="s">
        <v>111</v>
      </c>
      <c r="G23" s="32"/>
      <c r="H23" s="32"/>
    </row>
    <row r="24" spans="2:8" ht="14.25" customHeight="1">
      <c r="B24" s="30">
        <v>13</v>
      </c>
      <c r="C24" s="38" t="s">
        <v>281</v>
      </c>
      <c r="E24" s="32"/>
      <c r="F24" s="32" t="s">
        <v>111</v>
      </c>
      <c r="G24" s="32"/>
      <c r="H24" s="32"/>
    </row>
    <row r="25" spans="2:8" ht="14.25" customHeight="1">
      <c r="B25" s="34">
        <v>14</v>
      </c>
      <c r="C25" s="38" t="s">
        <v>282</v>
      </c>
      <c r="E25" s="32"/>
      <c r="F25" s="32" t="s">
        <v>111</v>
      </c>
      <c r="G25" s="32"/>
      <c r="H25" s="32"/>
    </row>
    <row r="26" spans="2:8" ht="14.25" customHeight="1">
      <c r="B26" s="43">
        <v>15</v>
      </c>
      <c r="C26" s="38" t="s">
        <v>283</v>
      </c>
      <c r="E26" s="32"/>
      <c r="F26" s="32" t="s">
        <v>111</v>
      </c>
      <c r="G26" s="32"/>
      <c r="H26" s="32"/>
    </row>
    <row r="27" spans="2:8" ht="14.25" customHeight="1">
      <c r="B27" s="30">
        <v>16</v>
      </c>
      <c r="C27" s="38" t="s">
        <v>284</v>
      </c>
      <c r="E27" s="32" t="s">
        <v>111</v>
      </c>
      <c r="F27" s="32"/>
      <c r="G27" s="32"/>
      <c r="H27" s="32"/>
    </row>
    <row r="28" spans="2:8" ht="14.25">
      <c r="B28" s="34">
        <v>17</v>
      </c>
      <c r="C28" s="55" t="s">
        <v>285</v>
      </c>
      <c r="E28" s="33" t="s">
        <v>111</v>
      </c>
      <c r="F28" s="33"/>
      <c r="G28" s="33"/>
      <c r="H28" s="33"/>
    </row>
    <row r="29" spans="2:8" ht="28.5">
      <c r="B29" s="43">
        <v>18</v>
      </c>
      <c r="C29" s="38" t="s">
        <v>286</v>
      </c>
      <c r="E29" s="32" t="s">
        <v>111</v>
      </c>
      <c r="F29" s="32"/>
      <c r="G29" s="32"/>
      <c r="H29" s="32"/>
    </row>
    <row r="30" spans="2:8" ht="28.5">
      <c r="B30" s="30">
        <v>19</v>
      </c>
      <c r="C30" s="38" t="s">
        <v>287</v>
      </c>
      <c r="E30" s="32" t="s">
        <v>111</v>
      </c>
      <c r="F30" s="32"/>
      <c r="G30" s="32"/>
      <c r="H30" s="32"/>
    </row>
    <row r="31" spans="2:8" ht="15" customHeight="1">
      <c r="C31" s="37"/>
    </row>
    <row r="32" spans="2:8" ht="15" customHeight="1">
      <c r="C32" s="37"/>
    </row>
    <row r="33" spans="3:3" ht="15" customHeight="1">
      <c r="C33" s="37"/>
    </row>
    <row r="34" spans="3:3" ht="15" customHeight="1">
      <c r="C34" s="37"/>
    </row>
    <row r="35" spans="3:3" ht="15" customHeight="1">
      <c r="C35" s="37"/>
    </row>
    <row r="36" spans="3:3" ht="15" customHeight="1">
      <c r="C36" s="37"/>
    </row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7"/>
  <sheetViews>
    <sheetView workbookViewId="0">
      <pane xSplit="6" ySplit="4" topLeftCell="G5" activePane="bottomRight" state="frozen"/>
      <selection pane="bottomRight" activeCell="C18" sqref="C18"/>
      <selection pane="bottomLeft"/>
      <selection pane="topRight"/>
    </sheetView>
  </sheetViews>
  <sheetFormatPr defaultRowHeight="15"/>
  <cols>
    <col min="1" max="1" width="20" customWidth="1"/>
    <col min="2" max="2" width="52" customWidth="1"/>
    <col min="3" max="3" width="12" customWidth="1"/>
    <col min="4" max="4" width="16.85546875" customWidth="1"/>
    <col min="5" max="5" width="18" customWidth="1"/>
    <col min="6" max="6" width="12" customWidth="1"/>
    <col min="7" max="20" width="6" customWidth="1"/>
  </cols>
  <sheetData>
    <row r="1" spans="1:20" ht="24" customHeight="1">
      <c r="A1" s="91" t="s">
        <v>288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</row>
    <row r="2" spans="1:20">
      <c r="A2" s="48" t="s">
        <v>289</v>
      </c>
      <c r="B2" t="s">
        <v>290</v>
      </c>
      <c r="D2" s="48" t="s">
        <v>291</v>
      </c>
      <c r="E2" t="s">
        <v>292</v>
      </c>
    </row>
    <row r="3" spans="1:20">
      <c r="G3" s="92" t="s">
        <v>293</v>
      </c>
      <c r="H3" s="93"/>
      <c r="I3" s="93"/>
      <c r="J3" s="93"/>
      <c r="K3" s="92" t="s">
        <v>294</v>
      </c>
      <c r="L3" s="93"/>
      <c r="M3" s="93"/>
      <c r="N3" s="93"/>
      <c r="O3" s="92" t="s">
        <v>295</v>
      </c>
      <c r="P3" s="93"/>
      <c r="Q3" s="93"/>
      <c r="R3" s="93"/>
    </row>
    <row r="4" spans="1:20" ht="29.25" customHeight="1">
      <c r="A4" s="54" t="s">
        <v>296</v>
      </c>
      <c r="B4" s="54" t="s">
        <v>297</v>
      </c>
      <c r="C4" s="54" t="s">
        <v>298</v>
      </c>
      <c r="D4" s="54" t="s">
        <v>299</v>
      </c>
      <c r="E4" s="54" t="s">
        <v>300</v>
      </c>
      <c r="F4" s="54" t="s">
        <v>301</v>
      </c>
      <c r="G4" s="69" t="s">
        <v>302</v>
      </c>
      <c r="H4" s="69" t="s">
        <v>303</v>
      </c>
      <c r="I4" s="69" t="s">
        <v>304</v>
      </c>
      <c r="J4" s="69" t="s">
        <v>305</v>
      </c>
      <c r="K4" s="69" t="s">
        <v>302</v>
      </c>
      <c r="L4" s="69" t="s">
        <v>303</v>
      </c>
      <c r="M4" s="69" t="s">
        <v>304</v>
      </c>
      <c r="N4" s="69" t="s">
        <v>305</v>
      </c>
      <c r="O4" s="69" t="s">
        <v>302</v>
      </c>
      <c r="P4" s="69" t="s">
        <v>303</v>
      </c>
      <c r="Q4" s="69" t="s">
        <v>304</v>
      </c>
      <c r="R4" s="69" t="s">
        <v>305</v>
      </c>
    </row>
    <row r="5" spans="1:20" ht="24" customHeight="1">
      <c r="A5" s="49" t="s">
        <v>306</v>
      </c>
      <c r="B5" s="49" t="s">
        <v>307</v>
      </c>
      <c r="C5" s="81">
        <v>46141</v>
      </c>
      <c r="D5" s="81">
        <v>46142</v>
      </c>
      <c r="E5" s="74">
        <v>1</v>
      </c>
      <c r="F5" s="66" t="s">
        <v>308</v>
      </c>
      <c r="G5" s="76"/>
      <c r="H5" s="76"/>
      <c r="I5" s="76"/>
      <c r="J5" s="77"/>
      <c r="K5" s="76"/>
      <c r="L5" s="76"/>
      <c r="M5" s="76"/>
      <c r="N5" s="76"/>
      <c r="O5" s="76"/>
      <c r="P5" s="76"/>
      <c r="Q5" s="76"/>
      <c r="R5" s="76"/>
    </row>
    <row r="6" spans="1:20" ht="24" customHeight="1">
      <c r="A6" s="49" t="s">
        <v>306</v>
      </c>
      <c r="B6" s="49" t="s">
        <v>309</v>
      </c>
      <c r="C6" s="81">
        <v>46141</v>
      </c>
      <c r="D6" s="82">
        <v>46142</v>
      </c>
      <c r="E6" s="71">
        <v>1</v>
      </c>
      <c r="F6" s="73" t="s">
        <v>308</v>
      </c>
      <c r="G6" s="76"/>
      <c r="H6" s="76"/>
      <c r="I6" s="76"/>
      <c r="J6" s="77"/>
      <c r="K6" s="76"/>
      <c r="L6" s="76"/>
      <c r="M6" s="76"/>
      <c r="N6" s="76"/>
      <c r="O6" s="76"/>
      <c r="P6" s="76"/>
      <c r="Q6" s="76"/>
      <c r="R6" s="76"/>
    </row>
    <row r="7" spans="1:20" ht="24" customHeight="1">
      <c r="A7" s="49" t="s">
        <v>306</v>
      </c>
      <c r="B7" s="49" t="s">
        <v>310</v>
      </c>
      <c r="C7" s="81">
        <v>46141</v>
      </c>
      <c r="D7" s="82">
        <v>46142</v>
      </c>
      <c r="E7" s="72">
        <v>1</v>
      </c>
      <c r="F7" s="73" t="s">
        <v>308</v>
      </c>
      <c r="G7" s="76"/>
      <c r="H7" s="76"/>
      <c r="I7" s="76"/>
      <c r="J7" s="77"/>
      <c r="K7" s="76"/>
      <c r="L7" s="76"/>
      <c r="M7" s="76"/>
      <c r="N7" s="76"/>
      <c r="O7" s="76"/>
      <c r="P7" s="76"/>
      <c r="Q7" s="76"/>
      <c r="R7" s="76"/>
    </row>
    <row r="8" spans="1:20" ht="24" customHeight="1">
      <c r="A8" s="49" t="s">
        <v>311</v>
      </c>
      <c r="B8" s="49" t="s">
        <v>312</v>
      </c>
      <c r="C8" s="81">
        <v>46141</v>
      </c>
      <c r="D8" s="81">
        <v>46150</v>
      </c>
      <c r="E8" s="75">
        <v>2</v>
      </c>
      <c r="F8" s="66" t="s">
        <v>308</v>
      </c>
      <c r="G8" s="76"/>
      <c r="H8" s="76"/>
      <c r="I8" s="76"/>
      <c r="J8" s="77"/>
      <c r="K8" s="77"/>
      <c r="L8" s="76"/>
      <c r="M8" s="76"/>
      <c r="N8" s="76"/>
      <c r="O8" s="76"/>
      <c r="P8" s="76"/>
      <c r="Q8" s="76"/>
      <c r="R8" s="76"/>
    </row>
    <row r="9" spans="1:20" ht="24" customHeight="1">
      <c r="A9" s="49" t="s">
        <v>311</v>
      </c>
      <c r="B9" s="49" t="s">
        <v>313</v>
      </c>
      <c r="C9" s="81">
        <v>46141</v>
      </c>
      <c r="D9" s="81">
        <v>46157</v>
      </c>
      <c r="E9" s="50">
        <v>3</v>
      </c>
      <c r="F9" s="66" t="s">
        <v>308</v>
      </c>
      <c r="G9" s="76"/>
      <c r="H9" s="76"/>
      <c r="I9" s="76"/>
      <c r="J9" s="77"/>
      <c r="K9" s="77"/>
      <c r="L9" s="77"/>
      <c r="M9" s="76"/>
      <c r="N9" s="76"/>
      <c r="O9" s="76"/>
      <c r="P9" s="76"/>
      <c r="Q9" s="76"/>
      <c r="R9" s="76"/>
    </row>
    <row r="10" spans="1:20" ht="24" customHeight="1">
      <c r="A10" s="49" t="s">
        <v>311</v>
      </c>
      <c r="B10" s="49" t="s">
        <v>314</v>
      </c>
      <c r="C10" s="81">
        <v>46141</v>
      </c>
      <c r="D10" s="81">
        <v>46169</v>
      </c>
      <c r="E10" s="50">
        <v>4</v>
      </c>
      <c r="F10" s="66" t="s">
        <v>308</v>
      </c>
      <c r="G10" s="76"/>
      <c r="H10" s="76"/>
      <c r="I10" s="76"/>
      <c r="J10" s="77"/>
      <c r="K10" s="77"/>
      <c r="L10" s="77"/>
      <c r="M10" s="77"/>
      <c r="N10" s="76"/>
      <c r="O10" s="76"/>
      <c r="P10" s="76"/>
      <c r="Q10" s="76"/>
      <c r="R10" s="76"/>
    </row>
    <row r="11" spans="1:20" ht="24" customHeight="1">
      <c r="A11" s="49" t="s">
        <v>311</v>
      </c>
      <c r="B11" s="49" t="s">
        <v>315</v>
      </c>
      <c r="C11" s="81">
        <v>46141</v>
      </c>
      <c r="D11" s="81">
        <v>46169</v>
      </c>
      <c r="E11" s="50">
        <v>4</v>
      </c>
      <c r="F11" s="66" t="s">
        <v>308</v>
      </c>
      <c r="G11" s="76"/>
      <c r="H11" s="76"/>
      <c r="I11" s="76"/>
      <c r="J11" s="77"/>
      <c r="K11" s="77"/>
      <c r="L11" s="77"/>
      <c r="M11" s="77"/>
      <c r="N11" s="76"/>
      <c r="O11" s="76"/>
      <c r="P11" s="76"/>
      <c r="Q11" s="76"/>
      <c r="R11" s="76"/>
    </row>
    <row r="12" spans="1:20" ht="24" customHeight="1">
      <c r="A12" s="49" t="s">
        <v>316</v>
      </c>
      <c r="B12" s="49" t="s">
        <v>317</v>
      </c>
      <c r="C12" s="81">
        <v>46141</v>
      </c>
      <c r="D12" s="81">
        <v>46169</v>
      </c>
      <c r="E12" s="50">
        <v>4</v>
      </c>
      <c r="F12" s="66" t="s">
        <v>308</v>
      </c>
      <c r="G12" s="76"/>
      <c r="H12" s="76"/>
      <c r="I12" s="76"/>
      <c r="J12" s="77"/>
      <c r="K12" s="77"/>
      <c r="L12" s="77"/>
      <c r="M12" s="77"/>
      <c r="N12" s="76"/>
      <c r="O12" s="76"/>
      <c r="P12" s="76"/>
      <c r="Q12" s="76"/>
      <c r="R12" s="76"/>
    </row>
    <row r="13" spans="1:20" ht="24" customHeight="1">
      <c r="A13" s="49" t="s">
        <v>316</v>
      </c>
      <c r="B13" s="49" t="s">
        <v>318</v>
      </c>
      <c r="C13" s="81">
        <v>46141</v>
      </c>
      <c r="D13" s="81">
        <v>46169</v>
      </c>
      <c r="E13" s="50">
        <v>4</v>
      </c>
      <c r="F13" s="66" t="s">
        <v>308</v>
      </c>
      <c r="G13" s="76"/>
      <c r="H13" s="76"/>
      <c r="I13" s="76"/>
      <c r="J13" s="77"/>
      <c r="K13" s="77"/>
      <c r="L13" s="77"/>
      <c r="M13" s="77"/>
      <c r="N13" s="76"/>
      <c r="O13" s="76"/>
      <c r="P13" s="76"/>
      <c r="Q13" s="76"/>
      <c r="R13" s="76"/>
    </row>
    <row r="14" spans="1:20" ht="24" customHeight="1">
      <c r="A14" s="49" t="s">
        <v>319</v>
      </c>
      <c r="B14" s="49" t="s">
        <v>320</v>
      </c>
      <c r="C14" s="81">
        <v>46141</v>
      </c>
      <c r="D14" s="81">
        <v>46169</v>
      </c>
      <c r="E14" s="50">
        <v>4</v>
      </c>
      <c r="F14" s="66" t="s">
        <v>308</v>
      </c>
      <c r="G14" s="76"/>
      <c r="H14" s="76"/>
      <c r="I14" s="76"/>
      <c r="J14" s="77"/>
      <c r="K14" s="77"/>
      <c r="L14" s="77"/>
      <c r="M14" s="77"/>
      <c r="N14" s="76"/>
      <c r="O14" s="76"/>
      <c r="P14" s="76"/>
      <c r="Q14" s="76"/>
      <c r="R14" s="76"/>
    </row>
    <row r="15" spans="1:20" ht="24" customHeight="1">
      <c r="A15" s="49" t="s">
        <v>319</v>
      </c>
      <c r="B15" s="49" t="s">
        <v>321</v>
      </c>
      <c r="C15" s="81">
        <v>46141</v>
      </c>
      <c r="D15" s="81">
        <v>46169</v>
      </c>
      <c r="E15" s="50">
        <v>4</v>
      </c>
      <c r="F15" s="66" t="s">
        <v>308</v>
      </c>
      <c r="G15" s="76"/>
      <c r="H15" s="76"/>
      <c r="I15" s="76"/>
      <c r="J15" s="77"/>
      <c r="K15" s="77"/>
      <c r="L15" s="77"/>
      <c r="M15" s="77"/>
      <c r="N15" s="76"/>
      <c r="O15" s="76"/>
      <c r="P15" s="76"/>
      <c r="Q15" s="76"/>
      <c r="R15" s="76"/>
    </row>
    <row r="16" spans="1:20" ht="24" customHeight="1">
      <c r="A16" s="49" t="s">
        <v>319</v>
      </c>
      <c r="B16" s="49" t="s">
        <v>322</v>
      </c>
      <c r="C16" s="81">
        <v>46141</v>
      </c>
      <c r="D16" s="81">
        <v>46169</v>
      </c>
      <c r="E16" s="50">
        <v>4</v>
      </c>
      <c r="F16" s="66" t="s">
        <v>308</v>
      </c>
      <c r="G16" s="76"/>
      <c r="H16" s="76"/>
      <c r="I16" s="76"/>
      <c r="J16" s="77"/>
      <c r="K16" s="77"/>
      <c r="L16" s="77"/>
      <c r="M16" s="77"/>
      <c r="N16" s="76"/>
      <c r="O16" s="76"/>
      <c r="P16" s="76"/>
      <c r="Q16" s="76"/>
      <c r="R16" s="76"/>
    </row>
    <row r="17" spans="1:21" ht="24" customHeight="1">
      <c r="A17" s="49" t="s">
        <v>319</v>
      </c>
      <c r="B17" s="49" t="s">
        <v>323</v>
      </c>
      <c r="C17" s="81">
        <v>46153</v>
      </c>
      <c r="D17" s="81"/>
      <c r="E17" s="50">
        <v>4</v>
      </c>
      <c r="F17" s="67" t="s">
        <v>324</v>
      </c>
      <c r="G17" s="76"/>
      <c r="H17" s="76"/>
      <c r="I17" s="76"/>
      <c r="J17" s="76"/>
      <c r="K17" s="78"/>
      <c r="L17" s="78"/>
      <c r="M17" s="78"/>
      <c r="N17" s="78"/>
      <c r="O17" s="76"/>
      <c r="P17" s="76"/>
      <c r="Q17" s="76"/>
      <c r="R17" s="76"/>
    </row>
    <row r="18" spans="1:21" ht="24" customHeight="1">
      <c r="A18" s="49" t="s">
        <v>319</v>
      </c>
      <c r="B18" s="49" t="s">
        <v>325</v>
      </c>
      <c r="C18" s="81">
        <v>46153</v>
      </c>
      <c r="D18" s="81"/>
      <c r="E18" s="50">
        <v>4</v>
      </c>
      <c r="F18" s="67" t="s">
        <v>324</v>
      </c>
      <c r="G18" s="76"/>
      <c r="H18" s="76"/>
      <c r="I18" s="76"/>
      <c r="J18" s="76"/>
      <c r="K18" s="78"/>
      <c r="L18" s="78"/>
      <c r="M18" s="78"/>
      <c r="N18" s="78"/>
      <c r="O18" s="76"/>
      <c r="P18" s="76"/>
      <c r="Q18" s="76"/>
      <c r="R18" s="76"/>
      <c r="U18" s="65"/>
    </row>
    <row r="19" spans="1:21" ht="24" customHeight="1">
      <c r="A19" s="49" t="s">
        <v>319</v>
      </c>
      <c r="B19" s="49" t="s">
        <v>326</v>
      </c>
      <c r="C19" s="81"/>
      <c r="D19" s="81"/>
      <c r="E19" s="50">
        <v>1</v>
      </c>
      <c r="F19" s="68" t="s">
        <v>327</v>
      </c>
      <c r="G19" s="76"/>
      <c r="H19" s="76"/>
      <c r="I19" s="76"/>
      <c r="J19" s="76"/>
      <c r="K19" s="76"/>
      <c r="L19" s="76"/>
      <c r="M19" s="79"/>
      <c r="N19" s="78"/>
      <c r="O19" s="76"/>
      <c r="P19" s="76"/>
      <c r="Q19" s="76"/>
      <c r="R19" s="76"/>
    </row>
    <row r="20" spans="1:21" ht="24" customHeight="1">
      <c r="A20" s="49" t="s">
        <v>319</v>
      </c>
      <c r="B20" s="49" t="s">
        <v>328</v>
      </c>
      <c r="C20" s="81"/>
      <c r="D20" s="81"/>
      <c r="E20" s="50">
        <v>2</v>
      </c>
      <c r="F20" s="68" t="s">
        <v>327</v>
      </c>
      <c r="G20" s="76"/>
      <c r="H20" s="76"/>
      <c r="I20" s="76"/>
      <c r="J20" s="76"/>
      <c r="K20" s="76"/>
      <c r="L20" s="76"/>
      <c r="M20" s="79"/>
      <c r="N20" s="79"/>
      <c r="O20" s="76"/>
      <c r="P20" s="76"/>
      <c r="Q20" s="76"/>
      <c r="R20" s="76"/>
    </row>
    <row r="21" spans="1:21" ht="24" customHeight="1">
      <c r="A21" s="49" t="s">
        <v>329</v>
      </c>
      <c r="B21" s="49" t="s">
        <v>330</v>
      </c>
      <c r="C21" s="81"/>
      <c r="D21" s="81"/>
      <c r="E21" s="50">
        <v>1</v>
      </c>
      <c r="F21" s="68" t="s">
        <v>327</v>
      </c>
      <c r="G21" s="76"/>
      <c r="H21" s="76"/>
      <c r="I21" s="76"/>
      <c r="J21" s="76"/>
      <c r="K21" s="76"/>
      <c r="L21" s="76"/>
      <c r="M21" s="76"/>
      <c r="N21" s="79"/>
      <c r="O21" s="79"/>
      <c r="P21" s="76"/>
      <c r="Q21" s="76"/>
      <c r="R21" s="76"/>
    </row>
    <row r="22" spans="1:21" ht="24" customHeight="1">
      <c r="A22" s="49" t="s">
        <v>329</v>
      </c>
      <c r="B22" s="49" t="s">
        <v>331</v>
      </c>
      <c r="C22" s="81"/>
      <c r="D22" s="81"/>
      <c r="E22" s="50">
        <v>1</v>
      </c>
      <c r="F22" s="68" t="s">
        <v>327</v>
      </c>
      <c r="G22" s="76"/>
      <c r="H22" s="76"/>
      <c r="I22" s="76"/>
      <c r="J22" s="76"/>
      <c r="K22" s="76"/>
      <c r="L22" s="76"/>
      <c r="M22" s="76"/>
      <c r="N22" s="79"/>
      <c r="O22" s="79"/>
      <c r="P22" s="76"/>
      <c r="Q22" s="76"/>
      <c r="R22" s="76"/>
    </row>
    <row r="23" spans="1:21" ht="24" customHeight="1">
      <c r="A23" s="49" t="s">
        <v>329</v>
      </c>
      <c r="B23" s="49" t="s">
        <v>332</v>
      </c>
      <c r="C23" s="81"/>
      <c r="D23" s="81"/>
      <c r="E23" s="50">
        <v>1</v>
      </c>
      <c r="F23" s="68" t="s">
        <v>327</v>
      </c>
      <c r="G23" s="76"/>
      <c r="H23" s="76"/>
      <c r="I23" s="76"/>
      <c r="J23" s="76"/>
      <c r="K23" s="76"/>
      <c r="L23" s="76"/>
      <c r="M23" s="76"/>
      <c r="N23" s="76"/>
      <c r="O23" s="79"/>
      <c r="P23" s="76"/>
      <c r="Q23" s="76"/>
      <c r="R23" s="76"/>
    </row>
    <row r="24" spans="1:21" ht="24" customHeight="1">
      <c r="A24" s="49" t="s">
        <v>329</v>
      </c>
      <c r="B24" s="49" t="s">
        <v>333</v>
      </c>
      <c r="C24" s="81"/>
      <c r="D24" s="81"/>
      <c r="E24" s="50">
        <v>1</v>
      </c>
      <c r="F24" s="68" t="s">
        <v>327</v>
      </c>
      <c r="G24" s="70"/>
      <c r="H24" s="70"/>
      <c r="I24" s="70"/>
      <c r="J24" s="70"/>
      <c r="K24" s="70"/>
      <c r="L24" s="70"/>
      <c r="M24" s="70"/>
      <c r="N24" s="70"/>
      <c r="O24" s="80"/>
      <c r="P24" s="70"/>
      <c r="Q24" s="70"/>
      <c r="R24" s="70"/>
    </row>
    <row r="27" spans="1:21">
      <c r="A27" s="48" t="s">
        <v>334</v>
      </c>
      <c r="B27" s="51"/>
      <c r="C27" s="48" t="s">
        <v>308</v>
      </c>
      <c r="D27" s="52"/>
      <c r="E27" s="48" t="s">
        <v>324</v>
      </c>
      <c r="F27" s="53"/>
      <c r="G27" s="48" t="s">
        <v>327</v>
      </c>
    </row>
  </sheetData>
  <mergeCells count="4">
    <mergeCell ref="A1:T1"/>
    <mergeCell ref="K3:N3"/>
    <mergeCell ref="O3:R3"/>
    <mergeCell ref="G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f69d94-ca7b-455f-a2e9-4b6b05bed5cf" xsi:nil="true"/>
    <lcf76f155ced4ddcb4097134ff3c332f xmlns="2a18e975-9a23-4a05-856e-7aef2af19db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3C3335CA379940920BFA55E15F60E1" ma:contentTypeVersion="15" ma:contentTypeDescription="Crear nuevo documento." ma:contentTypeScope="" ma:versionID="8722106e0f1954ff39945273055f9e45">
  <xsd:schema xmlns:xsd="http://www.w3.org/2001/XMLSchema" xmlns:xs="http://www.w3.org/2001/XMLSchema" xmlns:p="http://schemas.microsoft.com/office/2006/metadata/properties" xmlns:ns2="2a18e975-9a23-4a05-856e-7aef2af19dbf" xmlns:ns3="68f69d94-ca7b-455f-a2e9-4b6b05bed5cf" targetNamespace="http://schemas.microsoft.com/office/2006/metadata/properties" ma:root="true" ma:fieldsID="796cac693cb333c6a8da098fe2ebd478" ns2:_="" ns3:_="">
    <xsd:import namespace="2a18e975-9a23-4a05-856e-7aef2af19dbf"/>
    <xsd:import namespace="68f69d94-ca7b-455f-a2e9-4b6b05bed5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8e975-9a23-4a05-856e-7aef2af19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da50621-6068-45fb-bf27-6e77c79246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69d94-ca7b-455f-a2e9-4b6b05bed5c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64bc9-8791-49a3-a89d-bf413700940b}" ma:internalName="TaxCatchAll" ma:showField="CatchAllData" ma:web="68f69d94-ca7b-455f-a2e9-4b6b05bed5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2AA35A-4357-4E53-B26D-4F99101B638F}"/>
</file>

<file path=customXml/itemProps2.xml><?xml version="1.0" encoding="utf-8"?>
<ds:datastoreItem xmlns:ds="http://schemas.openxmlformats.org/officeDocument/2006/customXml" ds:itemID="{46626F29-F59B-4A91-8F55-0DF315CA6A8D}"/>
</file>

<file path=customXml/itemProps3.xml><?xml version="1.0" encoding="utf-8"?>
<ds:datastoreItem xmlns:ds="http://schemas.openxmlformats.org/officeDocument/2006/customXml" ds:itemID="{1762B2F6-264C-47FD-9E24-7C924B399A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barajas</dc:creator>
  <cp:keywords/>
  <dc:description/>
  <cp:lastModifiedBy/>
  <cp:revision/>
  <dcterms:created xsi:type="dcterms:W3CDTF">2026-04-30T15:27:28Z</dcterms:created>
  <dcterms:modified xsi:type="dcterms:W3CDTF">2026-05-28T14:36:28Z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0x0101006B3C3335CA379940920BFA55E15F60E1</vt:lpwstr>
  </property>
  <property fmtid="{D5CDD505-2E9C-101B-9397-08002B2CF9AE}" pid="3" name="MediaServiceImageTags">
    <vt:lpwstr/>
  </property>
</Properties>
</file>